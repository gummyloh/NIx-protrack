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BOM" sheetId="2" state="visible" r:id="rId4"/>
    <sheet name="Progress" sheetId="3" state="visible" r:id="rId5"/>
    <sheet name="Customer View" sheetId="4" state="visible" r:id="rId6"/>
    <sheet name="Revision Log" sheetId="5" state="visible" r:id="rId7"/>
    <sheet name="Lists" sheetId="6" state="visible" r:id="rId8"/>
  </sheets>
  <definedNames>
    <definedName function="false" hidden="true" localSheetId="1" name="_xlnm._FilterDatabase" vbProcedure="false">BOM!$A$10:$AG$410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<sst xmlns="http://schemas.openxmlformats.org/spreadsheetml/2006/main" count="279" uniqueCount="183">
  <si>
    <t xml:space="preserve">BOM Master List Template — How to Use</t>
  </si>
  <si>
    <t xml:space="preserve">For every new project: copy this file, rename it &lt;ProjectCode&gt;_BOM_Rev0.xlsx, fill the header and the Lists sheet. Never start from an old project file.</t>
  </si>
  <si>
    <t xml:space="preserve">WHO</t>
  </si>
  <si>
    <t xml:space="preserve">FILLS</t>
  </si>
  <si>
    <t xml:space="preserve">Engineering (blue)</t>
  </si>
  <si>
    <t xml:space="preserve">Sub-Assembly, Discipline, Description, Part No, Manufacturer, Category, Qty/Set, Multiple, Unit, Make/Buy, Drawing/Rev, NSW Part No, PIC, Issue &amp; Required Date</t>
  </si>
  <si>
    <t xml:space="preserve">Purchasing (green)</t>
  </si>
  <si>
    <t xml:space="preserve">Status, Supplier, PR, PO, PO Date, ETA, DO/Invoice, Qty Received, Received Date, Unit Price</t>
  </si>
  <si>
    <t xml:space="preserve">Assembly (orange)</t>
  </si>
  <si>
    <t xml:space="preserve">Qty Issued, Taken By, Date — when parts leave store to the line</t>
  </si>
  <si>
    <t xml:space="preserve">Auto (navy)</t>
  </si>
  <si>
    <t xml:space="preserve">Item No, Total Qty, Total Price, Flag — don't type</t>
  </si>
  <si>
    <t xml:space="preserve">STATUS</t>
  </si>
  <si>
    <t xml:space="preserve">Same legend as before — now a dropdown, and the row colours itself</t>
  </si>
  <si>
    <t xml:space="preserve">Not Finalized</t>
  </si>
  <si>
    <t xml:space="preserve">Finalized – Not Purchased</t>
  </si>
  <si>
    <t xml:space="preserve">Purchased – Not Received</t>
  </si>
  <si>
    <t xml:space="preserve">Received</t>
  </si>
  <si>
    <t xml:space="preserve">NSW Purchased</t>
  </si>
  <si>
    <t xml:space="preserve">New Request to NSW</t>
  </si>
  <si>
    <t xml:space="preserve">Cancelled</t>
  </si>
  <si>
    <t xml:space="preserve">FLAG</t>
  </si>
  <si>
    <t xml:space="preserve">MEANING</t>
  </si>
  <si>
    <t xml:space="preserve">NO QTY</t>
  </si>
  <si>
    <t xml:space="preserve">Qty/Set blank — engineer to fill</t>
  </si>
  <si>
    <t xml:space="preserve">NO PART NO</t>
  </si>
  <si>
    <t xml:space="preserve">Buy item without manufacturer P/N</t>
  </si>
  <si>
    <t xml:space="preserve">OVERDUE</t>
  </si>
  <si>
    <t xml:space="preserve">ETA passed, not received — chase supplier</t>
  </si>
  <si>
    <t xml:space="preserve">LATE vs REQ</t>
  </si>
  <si>
    <t xml:space="preserve">Supplier ETA is after the Required Date — escalate</t>
  </si>
  <si>
    <t xml:space="preserve">NEED PR</t>
  </si>
  <si>
    <t xml:space="preserve">Finalized but no PR raised</t>
  </si>
  <si>
    <t xml:space="preserve">SHORT</t>
  </si>
  <si>
    <t xml:space="preserve">Received less than Total Qty</t>
  </si>
  <si>
    <t xml:space="preserve">RULES</t>
  </si>
  <si>
    <t xml:space="preserve">1</t>
  </si>
  <si>
    <t xml:space="preserve">One row per part. Don't insert section/title rows — use the Sub-Assembly dropdown.</t>
  </si>
  <si>
    <t xml:space="preserve">2</t>
  </si>
  <si>
    <t xml:space="preserve">Never delete a row — set Status to Cancelled.</t>
  </si>
  <si>
    <t xml:space="preserve">0</t>
  </si>
  <si>
    <t xml:space="preserve">Setup: fill header (Project Name, Code, Customer) + rename sub-assemblies in Lists.</t>
  </si>
  <si>
    <t xml:space="preserve">3</t>
  </si>
  <si>
    <t xml:space="preserve">Design change → update Drawing Rev, note it in Remarks, add a line in Revision Log.</t>
  </si>
  <si>
    <t xml:space="preserve">4</t>
  </si>
  <si>
    <t xml:space="preserve">Update 'Last Updated' (BOM sheet, F6) every Monday by 12pm.</t>
  </si>
  <si>
    <t xml:space="preserve">6</t>
  </si>
  <si>
    <t xml:space="preserve">Don't rename or move columns — the file is designed to import into the Nix Project Tracker.</t>
  </si>
  <si>
    <t xml:space="preserve">5</t>
  </si>
  <si>
    <t xml:space="preserve">Customer View has no prices — still Paste Values before sending.</t>
  </si>
  <si>
    <t xml:space="preserve">Example row (format only — enter real rows in BOM sheet):</t>
  </si>
  <si>
    <t xml:space="preserve">Item</t>
  </si>
  <si>
    <t xml:space="preserve">Sub-Assembly</t>
  </si>
  <si>
    <t xml:space="preserve">Discipline</t>
  </si>
  <si>
    <t xml:space="preserve">Description</t>
  </si>
  <si>
    <t xml:space="preserve">Manufacturer Part No.</t>
  </si>
  <si>
    <t xml:space="preserve">Manufacturer</t>
  </si>
  <si>
    <t xml:space="preserve">Category</t>
  </si>
  <si>
    <t xml:space="preserve">Qty / Set</t>
  </si>
  <si>
    <t xml:space="preserve">Multiple</t>
  </si>
  <si>
    <t xml:space="preserve">Total Qty</t>
  </si>
  <si>
    <t xml:space="preserve">Unit</t>
  </si>
  <si>
    <t xml:space="preserve">Make / Buy</t>
  </si>
  <si>
    <t xml:space="preserve">Drawing No. / Rev</t>
  </si>
  <si>
    <t xml:space="preserve">NSW Part No.</t>
  </si>
  <si>
    <t xml:space="preserve">Engineer PIC</t>
  </si>
  <si>
    <t xml:space="preserve">Issue Date</t>
  </si>
  <si>
    <t xml:space="preserve">Required Date</t>
  </si>
  <si>
    <t xml:space="preserve">Status</t>
  </si>
  <si>
    <t xml:space="preserve">Supplier</t>
  </si>
  <si>
    <t xml:space="preserve">PR No.</t>
  </si>
  <si>
    <t xml:space="preserve">PO No.</t>
  </si>
  <si>
    <t xml:space="preserve">PO Date</t>
  </si>
  <si>
    <t xml:space="preserve">ETA</t>
  </si>
  <si>
    <t xml:space="preserve">DO / Invoice No.</t>
  </si>
  <si>
    <t xml:space="preserve">Qty Received</t>
  </si>
  <si>
    <t xml:space="preserve">Received Date</t>
  </si>
  <si>
    <t xml:space="preserve">Unit Price (RM)</t>
  </si>
  <si>
    <t xml:space="preserve">Total Price (RM)</t>
  </si>
  <si>
    <t xml:space="preserve">Qty Issued</t>
  </si>
  <si>
    <t xml:space="preserve">Taken By</t>
  </si>
  <si>
    <t xml:space="preserve">Issue Date (Assy)</t>
  </si>
  <si>
    <t xml:space="preserve">Flag</t>
  </si>
  <si>
    <t xml:space="preserve">Remarks</t>
  </si>
  <si>
    <t xml:space="preserve">120-01</t>
  </si>
  <si>
    <t xml:space="preserve">120 SINGULATOR</t>
  </si>
  <si>
    <t xml:space="preserve">Mechanical</t>
  </si>
  <si>
    <t xml:space="preserve">CYLINDER</t>
  </si>
  <si>
    <t xml:space="preserve">CDU16-25D-M9BL</t>
  </si>
  <si>
    <t xml:space="preserve">SMC</t>
  </si>
  <si>
    <t xml:space="preserve">Pneumatic</t>
  </si>
  <si>
    <t xml:space="preserve">Pcs</t>
  </si>
  <si>
    <t xml:space="preserve">Buy</t>
  </si>
  <si>
    <t xml:space="preserve">XX-120-005 Rev A</t>
  </si>
  <si>
    <t xml:space="preserve">HC</t>
  </si>
  <si>
    <t xml:space="preserve">01-Oct-26</t>
  </si>
  <si>
    <t xml:space="preserve">20-Oct-26</t>
  </si>
  <si>
    <t xml:space="preserve">Supplier name</t>
  </si>
  <si>
    <t xml:space="preserve">PR-0123</t>
  </si>
  <si>
    <t xml:space="preserve">PO-0456</t>
  </si>
  <si>
    <t xml:space="preserve">03-Oct-26</t>
  </si>
  <si>
    <t xml:space="preserve">15-Oct-26</t>
  </si>
  <si>
    <t xml:space="preserve">Pick-up cylinder</t>
  </si>
  <si>
    <t xml:space="preserve">BOM Master List — Project Template</t>
  </si>
  <si>
    <t xml:space="preserve">Blue = Engineering · Green = Purchasing · Orange = Assembly · Navy = auto (don't type). One row per part, no section rows — pick Sub-Assembly from the dropdown instead.</t>
  </si>
  <si>
    <t xml:space="preserve">Project Name:</t>
  </si>
  <si>
    <t xml:space="preserve">Originator:</t>
  </si>
  <si>
    <t xml:space="preserve">BOM value (RM):</t>
  </si>
  <si>
    <t xml:space="preserve">Project Code:</t>
  </si>
  <si>
    <t xml:space="preserve">Approval:</t>
  </si>
  <si>
    <t xml:space="preserve">Customer:</t>
  </si>
  <si>
    <t xml:space="preserve">Revision:</t>
  </si>
  <si>
    <t xml:space="preserve">Scope:</t>
  </si>
  <si>
    <t xml:space="preserve">All disciplines</t>
  </si>
  <si>
    <t xml:space="preserve">Last Updated:</t>
  </si>
  <si>
    <t xml:space="preserve">AUTO</t>
  </si>
  <si>
    <t xml:space="preserve">ENGINEERING</t>
  </si>
  <si>
    <t xml:space="preserve">PURCHASING</t>
  </si>
  <si>
    <t xml:space="preserve">ASSEMBLY</t>
  </si>
  <si>
    <t xml:space="preserve">BOM Progress Dashboard</t>
  </si>
  <si>
    <t xml:space="preserve">Auto from BOM. Finalized = any status past 'Not Finalized'. Ordered = Purchased–Not Received / Received / NSW Purchased. Cancelled excluded. Cost columns are INTERNAL.</t>
  </si>
  <si>
    <t xml:space="preserve">OVERALL</t>
  </si>
  <si>
    <t xml:space="preserve">BOM lines</t>
  </si>
  <si>
    <t xml:space="preserve">Finalized</t>
  </si>
  <si>
    <t xml:space="preserve">Ordered</t>
  </si>
  <si>
    <t xml:space="preserve">Overdue</t>
  </si>
  <si>
    <t xml:space="preserve">Lines with flags</t>
  </si>
  <si>
    <t xml:space="preserve">By Sub-Assembly</t>
  </si>
  <si>
    <t xml:space="preserve">Group</t>
  </si>
  <si>
    <t xml:space="preserve">Lines</t>
  </si>
  <si>
    <t xml:space="preserve">% Final</t>
  </si>
  <si>
    <t xml:space="preserve">% Ordered</t>
  </si>
  <si>
    <t xml:space="preserve">% Rcvd</t>
  </si>
  <si>
    <t xml:space="preserve">Flags (any)</t>
  </si>
  <si>
    <t xml:space="preserve">Value (RM)</t>
  </si>
  <si>
    <t xml:space="preserve">TOTAL</t>
  </si>
  <si>
    <t xml:space="preserve">By Discipline</t>
  </si>
  <si>
    <t xml:space="preserve">By Category</t>
  </si>
  <si>
    <t xml:space="preserve">Bill of Materials</t>
  </si>
  <si>
    <t xml:space="preserve">Auto from BOM — no supplier, PR/PO, price or internal remarks. Copy → Paste Values into a new file before sending to Teleflex.</t>
  </si>
  <si>
    <t xml:space="preserve">Revision Log</t>
  </si>
  <si>
    <t xml:space="preserve">Add a line every time the BOM is re-issued to Teleflex.</t>
  </si>
  <si>
    <t xml:space="preserve">Rev</t>
  </si>
  <si>
    <t xml:space="preserve">Date</t>
  </si>
  <si>
    <t xml:space="preserve">Changes</t>
  </si>
  <si>
    <t xml:space="preserve">By</t>
  </si>
  <si>
    <t xml:space="preserve">Approved</t>
  </si>
  <si>
    <t xml:space="preserve">Dropdown Lists</t>
  </si>
  <si>
    <t xml:space="preserve">Yellow = edit per project. Format: &lt;3-digit no.&gt; &lt;NAME&gt;, e.g. 120 SINGULATOR. Add rows at the bottom of the list if needed (up to 15).</t>
  </si>
  <si>
    <t xml:space="preserve">Make/Buy</t>
  </si>
  <si>
    <t xml:space="preserve">110 BASE &amp; STRUCTURE</t>
  </si>
  <si>
    <t xml:space="preserve">Fabricated Part</t>
  </si>
  <si>
    <t xml:space="preserve">120 (rename)</t>
  </si>
  <si>
    <t xml:space="preserve">Electrical</t>
  </si>
  <si>
    <t xml:space="preserve">Std Mechanical</t>
  </si>
  <si>
    <t xml:space="preserve">Make (Fabricate)</t>
  </si>
  <si>
    <t xml:space="preserve">Set</t>
  </si>
  <si>
    <t xml:space="preserve">130 (rename)</t>
  </si>
  <si>
    <t xml:space="preserve">Customer Supplied</t>
  </si>
  <si>
    <t xml:space="preserve">Mtr</t>
  </si>
  <si>
    <t xml:space="preserve">140 (rename)</t>
  </si>
  <si>
    <t xml:space="preserve">Software / Vision</t>
  </si>
  <si>
    <t xml:space="preserve">Vacuum</t>
  </si>
  <si>
    <t xml:space="preserve">Lot</t>
  </si>
  <si>
    <t xml:space="preserve">150 (rename)</t>
  </si>
  <si>
    <t xml:space="preserve">Others</t>
  </si>
  <si>
    <t xml:space="preserve">Motion / Actuator</t>
  </si>
  <si>
    <t xml:space="preserve">Roll</t>
  </si>
  <si>
    <t xml:space="preserve">160 (rename)</t>
  </si>
  <si>
    <t xml:space="preserve">Electrical / Control</t>
  </si>
  <si>
    <t xml:space="preserve">170 (rename)</t>
  </si>
  <si>
    <t xml:space="preserve">Sensor</t>
  </si>
  <si>
    <t xml:space="preserve">180 (rename)</t>
  </si>
  <si>
    <t xml:space="preserve">Vision</t>
  </si>
  <si>
    <t xml:space="preserve">190 (rename)</t>
  </si>
  <si>
    <t xml:space="preserve">Safety</t>
  </si>
  <si>
    <t xml:space="preserve">200 (rename)</t>
  </si>
  <si>
    <t xml:space="preserve">Consumable / Others</t>
  </si>
  <si>
    <t xml:space="preserve">210 (rename)</t>
  </si>
  <si>
    <t xml:space="preserve">220 (rename)</t>
  </si>
  <si>
    <t xml:space="preserve">230 (rename)</t>
  </si>
  <si>
    <t xml:space="preserve">240 (rename)</t>
  </si>
  <si>
    <t xml:space="preserve">250 (rename)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</si>
</sst>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dd\-mmm\-yyyy"/>
    <numFmt numFmtId="167" formatCode="dd\-mmm\-yy"/>
    <numFmt numFmtId="168" formatCode="General"/>
    <numFmt numFmtId="169" formatCode="0%"/>
    <numFmt numFmtId="170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1"/>
      <color rgb="FF2E75B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E699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F8CBAD"/>
        <bgColor rgb="FFFFC7CE"/>
      </patternFill>
    </fill>
    <fill>
      <patternFill patternType="solid">
        <fgColor rgb="FF92D050"/>
        <bgColor rgb="FFBFBFBF"/>
      </patternFill>
    </fill>
    <fill>
      <patternFill patternType="solid">
        <fgColor rgb="FF00B0F0"/>
        <bgColor rgb="FF33CCCC"/>
      </patternFill>
    </fill>
    <fill>
      <patternFill patternType="solid">
        <fgColor rgb="FFFF0000"/>
        <bgColor rgb="FFC00000"/>
      </patternFill>
    </fill>
    <fill>
      <patternFill patternType="solid">
        <fgColor rgb="FFBFBFBF"/>
        <bgColor rgb="FF99CCFF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833C0B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8000"/>
      <rgbColor rgb="FF000080"/>
      <rgbColor rgb="FF9C57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F2F2F2"/>
      <rgbColor rgb="FFE2EFDA"/>
      <rgbColor rgb="FFFFEB9C"/>
      <rgbColor rgb="FF99CCFF"/>
      <rgbColor rgb="FFFCE4D6"/>
      <rgbColor rgb="FFCC99FF"/>
      <rgbColor rgb="FFF8CBAD"/>
      <rgbColor rgb="FF2E75B6"/>
      <rgbColor rgb="FF33CCCC"/>
      <rgbColor rgb="FF92D05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  <col collapsed="false" customWidth="true" hidden="false" outlineLevel="0" max="33" min="3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s">
        <v>5</v>
      </c>
    </row>
    <row r="6" customFormat="false" ht="15" hidden="false" customHeight="false" outlineLevel="0" collapsed="false">
      <c r="A6" s="6" t="s">
        <v>6</v>
      </c>
      <c r="B6" s="5" t="s">
        <v>7</v>
      </c>
    </row>
    <row r="7" customFormat="false" ht="15" hidden="false" customHeight="false" outlineLevel="0" collapsed="false">
      <c r="A7" s="7" t="s">
        <v>8</v>
      </c>
      <c r="B7" s="5" t="s">
        <v>9</v>
      </c>
    </row>
    <row r="8" customFormat="false" ht="15" hidden="false" customHeight="false" outlineLevel="0" collapsed="false">
      <c r="A8" s="5" t="s">
        <v>10</v>
      </c>
      <c r="B8" s="5" t="s">
        <v>11</v>
      </c>
    </row>
    <row r="9" customFormat="false" ht="15" hidden="false" customHeight="false" outlineLevel="0" collapsed="false">
      <c r="A9" s="5"/>
      <c r="B9" s="5"/>
    </row>
    <row r="10" customFormat="false" ht="15" hidden="false" customHeight="false" outlineLevel="0" collapsed="false">
      <c r="A10" s="3" t="s">
        <v>12</v>
      </c>
      <c r="B10" s="3" t="s">
        <v>13</v>
      </c>
    </row>
    <row r="11" customFormat="false" ht="15" hidden="false" customHeight="false" outlineLevel="0" collapsed="false">
      <c r="A11" s="8" t="s">
        <v>14</v>
      </c>
      <c r="B11" s="5"/>
    </row>
    <row r="12" customFormat="false" ht="15" hidden="false" customHeight="false" outlineLevel="0" collapsed="false">
      <c r="A12" s="9" t="s">
        <v>15</v>
      </c>
      <c r="B12" s="5"/>
    </row>
    <row r="13" customFormat="false" ht="15" hidden="false" customHeight="false" outlineLevel="0" collapsed="false">
      <c r="A13" s="10" t="s">
        <v>16</v>
      </c>
      <c r="B13" s="5"/>
    </row>
    <row r="14" customFormat="false" ht="15" hidden="false" customHeight="false" outlineLevel="0" collapsed="false">
      <c r="A14" s="11" t="s">
        <v>17</v>
      </c>
      <c r="B14" s="5"/>
    </row>
    <row r="15" customFormat="false" ht="15" hidden="false" customHeight="false" outlineLevel="0" collapsed="false">
      <c r="A15" s="12" t="s">
        <v>18</v>
      </c>
      <c r="B15" s="5"/>
    </row>
    <row r="16" customFormat="false" ht="15" hidden="false" customHeight="false" outlineLevel="0" collapsed="false">
      <c r="A16" s="13" t="s">
        <v>19</v>
      </c>
      <c r="B16" s="5"/>
    </row>
    <row r="17" customFormat="false" ht="15" hidden="false" customHeight="false" outlineLevel="0" collapsed="false">
      <c r="A17" s="14" t="s">
        <v>20</v>
      </c>
      <c r="B17" s="5"/>
    </row>
    <row r="18" customFormat="false" ht="15" hidden="false" customHeight="false" outlineLevel="0" collapsed="false">
      <c r="A18" s="5"/>
      <c r="B18" s="5"/>
    </row>
    <row r="19" customFormat="false" ht="15" hidden="false" customHeight="false" outlineLevel="0" collapsed="false">
      <c r="A19" s="3" t="s">
        <v>21</v>
      </c>
      <c r="B19" s="3" t="s">
        <v>22</v>
      </c>
    </row>
    <row r="20" customFormat="false" ht="15" hidden="false" customHeight="false" outlineLevel="0" collapsed="false">
      <c r="A20" s="5" t="s">
        <v>23</v>
      </c>
      <c r="B20" s="5" t="s">
        <v>24</v>
      </c>
    </row>
    <row r="21" customFormat="false" ht="15" hidden="false" customHeight="false" outlineLevel="0" collapsed="false">
      <c r="A21" s="5" t="s">
        <v>25</v>
      </c>
      <c r="B21" s="5" t="s">
        <v>26</v>
      </c>
    </row>
    <row r="22" customFormat="false" ht="15" hidden="false" customHeight="false" outlineLevel="0" collapsed="false">
      <c r="A22" s="5" t="s">
        <v>27</v>
      </c>
      <c r="B22" s="5" t="s">
        <v>28</v>
      </c>
    </row>
    <row r="23" customFormat="false" ht="15" hidden="false" customHeight="false" outlineLevel="0" collapsed="false">
      <c r="A23" s="5" t="s">
        <v>29</v>
      </c>
      <c r="B23" s="5" t="s">
        <v>30</v>
      </c>
    </row>
    <row r="24" customFormat="false" ht="15" hidden="false" customHeight="false" outlineLevel="0" collapsed="false">
      <c r="A24" s="5" t="s">
        <v>31</v>
      </c>
      <c r="B24" s="5" t="s">
        <v>32</v>
      </c>
    </row>
    <row r="25" customFormat="false" ht="15" hidden="false" customHeight="false" outlineLevel="0" collapsed="false">
      <c r="A25" s="5" t="s">
        <v>33</v>
      </c>
      <c r="B25" s="5" t="s">
        <v>34</v>
      </c>
    </row>
    <row r="26" customFormat="false" ht="15" hidden="false" customHeight="false" outlineLevel="0" collapsed="false">
      <c r="A26" s="5"/>
      <c r="B26" s="5"/>
    </row>
    <row r="27" customFormat="false" ht="15" hidden="false" customHeight="false" outlineLevel="0" collapsed="false">
      <c r="A27" s="3" t="s">
        <v>35</v>
      </c>
      <c r="B27" s="3"/>
    </row>
    <row r="28" customFormat="false" ht="15" hidden="false" customHeight="false" outlineLevel="0" collapsed="false">
      <c r="A28" s="5" t="s">
        <v>36</v>
      </c>
      <c r="B28" s="5" t="s">
        <v>37</v>
      </c>
    </row>
    <row r="29" customFormat="false" ht="15" hidden="false" customHeight="false" outlineLevel="0" collapsed="false">
      <c r="A29" s="5" t="s">
        <v>38</v>
      </c>
      <c r="B29" s="5" t="s">
        <v>39</v>
      </c>
    </row>
    <row r="30" customFormat="false" ht="15" hidden="false" customHeight="false" outlineLevel="0" collapsed="false">
      <c r="A30" s="5" t="s">
        <v>40</v>
      </c>
      <c r="B30" s="5" t="s">
        <v>41</v>
      </c>
    </row>
    <row r="31" customFormat="false" ht="15" hidden="false" customHeight="false" outlineLevel="0" collapsed="false">
      <c r="A31" s="5" t="s">
        <v>42</v>
      </c>
      <c r="B31" s="5" t="s">
        <v>43</v>
      </c>
    </row>
    <row r="32" customFormat="false" ht="15" hidden="false" customHeight="false" outlineLevel="0" collapsed="false">
      <c r="A32" s="5" t="s">
        <v>44</v>
      </c>
      <c r="B32" s="5" t="s">
        <v>45</v>
      </c>
    </row>
    <row r="33" customFormat="false" ht="15" hidden="false" customHeight="false" outlineLevel="0" collapsed="false">
      <c r="A33" s="5" t="s">
        <v>46</v>
      </c>
      <c r="B33" s="5" t="s">
        <v>47</v>
      </c>
    </row>
    <row r="34" customFormat="false" ht="15" hidden="false" customHeight="false" outlineLevel="0" collapsed="false">
      <c r="A34" s="5" t="s">
        <v>48</v>
      </c>
      <c r="B34" s="5" t="s">
        <v>49</v>
      </c>
    </row>
    <row r="37" customFormat="false" ht="15" hidden="false" customHeight="false" outlineLevel="0" collapsed="false">
      <c r="A37" s="15" t="s">
        <v>50</v>
      </c>
    </row>
    <row r="38" customFormat="false" ht="15" hidden="false" customHeight="false" outlineLevel="0" collapsed="false">
      <c r="A38" s="16" t="s">
        <v>51</v>
      </c>
      <c r="B38" s="17" t="s">
        <v>52</v>
      </c>
      <c r="C38" s="17" t="s">
        <v>53</v>
      </c>
      <c r="D38" s="17" t="s">
        <v>54</v>
      </c>
      <c r="E38" s="17" t="s">
        <v>55</v>
      </c>
      <c r="F38" s="17" t="s">
        <v>56</v>
      </c>
      <c r="G38" s="17" t="s">
        <v>57</v>
      </c>
      <c r="H38" s="17" t="s">
        <v>58</v>
      </c>
      <c r="I38" s="17" t="s">
        <v>59</v>
      </c>
      <c r="J38" s="16" t="s">
        <v>60</v>
      </c>
      <c r="K38" s="17" t="s">
        <v>61</v>
      </c>
      <c r="L38" s="17" t="s">
        <v>62</v>
      </c>
      <c r="M38" s="17" t="s">
        <v>63</v>
      </c>
      <c r="N38" s="17" t="s">
        <v>64</v>
      </c>
      <c r="O38" s="17" t="s">
        <v>65</v>
      </c>
      <c r="P38" s="17" t="s">
        <v>66</v>
      </c>
      <c r="Q38" s="17" t="s">
        <v>67</v>
      </c>
      <c r="R38" s="18" t="s">
        <v>68</v>
      </c>
      <c r="S38" s="18" t="s">
        <v>69</v>
      </c>
      <c r="T38" s="18" t="s">
        <v>70</v>
      </c>
      <c r="U38" s="18" t="s">
        <v>71</v>
      </c>
      <c r="V38" s="18" t="s">
        <v>72</v>
      </c>
      <c r="W38" s="18" t="s">
        <v>73</v>
      </c>
      <c r="X38" s="18" t="s">
        <v>74</v>
      </c>
      <c r="Y38" s="18" t="s">
        <v>75</v>
      </c>
      <c r="Z38" s="18" t="s">
        <v>76</v>
      </c>
      <c r="AA38" s="18" t="s">
        <v>77</v>
      </c>
      <c r="AB38" s="16" t="s">
        <v>78</v>
      </c>
      <c r="AC38" s="19" t="s">
        <v>79</v>
      </c>
      <c r="AD38" s="19" t="s">
        <v>80</v>
      </c>
      <c r="AE38" s="19" t="s">
        <v>81</v>
      </c>
      <c r="AF38" s="16" t="s">
        <v>82</v>
      </c>
      <c r="AG38" s="17" t="s">
        <v>83</v>
      </c>
    </row>
    <row r="39" customFormat="false" ht="15" hidden="false" customHeight="false" outlineLevel="0" collapsed="false">
      <c r="A39" s="20" t="s">
        <v>84</v>
      </c>
      <c r="B39" s="20" t="s">
        <v>85</v>
      </c>
      <c r="C39" s="20" t="s">
        <v>86</v>
      </c>
      <c r="D39" s="20" t="s">
        <v>87</v>
      </c>
      <c r="E39" s="20" t="s">
        <v>88</v>
      </c>
      <c r="F39" s="20" t="s">
        <v>89</v>
      </c>
      <c r="G39" s="20" t="s">
        <v>90</v>
      </c>
      <c r="H39" s="20" t="n">
        <v>2</v>
      </c>
      <c r="I39" s="20" t="n">
        <v>1</v>
      </c>
      <c r="J39" s="20" t="n">
        <v>2</v>
      </c>
      <c r="K39" s="20" t="s">
        <v>91</v>
      </c>
      <c r="L39" s="20" t="s">
        <v>92</v>
      </c>
      <c r="M39" s="20" t="s">
        <v>93</v>
      </c>
      <c r="N39" s="20"/>
      <c r="O39" s="20" t="s">
        <v>94</v>
      </c>
      <c r="P39" s="20" t="s">
        <v>95</v>
      </c>
      <c r="Q39" s="20" t="s">
        <v>96</v>
      </c>
      <c r="R39" s="20" t="s">
        <v>16</v>
      </c>
      <c r="S39" s="20" t="s">
        <v>97</v>
      </c>
      <c r="T39" s="20" t="s">
        <v>98</v>
      </c>
      <c r="U39" s="20" t="s">
        <v>99</v>
      </c>
      <c r="V39" s="20" t="s">
        <v>100</v>
      </c>
      <c r="W39" s="20" t="s">
        <v>101</v>
      </c>
      <c r="X39" s="20"/>
      <c r="Y39" s="20"/>
      <c r="Z39" s="20"/>
      <c r="AA39" s="20" t="n">
        <v>85</v>
      </c>
      <c r="AB39" s="20" t="n">
        <v>170</v>
      </c>
      <c r="AC39" s="20"/>
      <c r="AD39" s="20"/>
      <c r="AE39" s="20"/>
      <c r="AF39" s="20"/>
      <c r="AG39" s="20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0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11" min="8" style="0" width="7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8" min="18" style="0" width="22"/>
    <col collapsed="false" customWidth="true" hidden="false" outlineLevel="0" max="19" min="19" style="0" width="16"/>
    <col collapsed="false" customWidth="true" hidden="false" outlineLevel="0" max="23" min="20" style="0" width="10"/>
    <col collapsed="false" customWidth="true" hidden="false" outlineLevel="0" max="24" min="24" style="0" width="12"/>
    <col collapsed="false" customWidth="true" hidden="false" outlineLevel="0" max="25" min="25" style="0" width="8"/>
    <col collapsed="false" customWidth="true" hidden="false" outlineLevel="0" max="27" min="26" style="0" width="10"/>
    <col collapsed="false" customWidth="true" hidden="false" outlineLevel="0" max="28" min="28" style="0" width="11"/>
    <col collapsed="false" customWidth="true" hidden="false" outlineLevel="0" max="29" min="29" style="0" width="8"/>
    <col collapsed="false" customWidth="true" hidden="false" outlineLevel="0" max="30" min="30" style="0" width="11"/>
    <col collapsed="false" customWidth="true" hidden="false" outlineLevel="0" max="31" min="31" style="0" width="10"/>
    <col collapsed="false" customWidth="true" hidden="false" outlineLevel="0" max="32" min="32" style="0" width="14"/>
    <col collapsed="false" customWidth="true" hidden="false" outlineLevel="0" max="33" min="33" style="0" width="3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3" customFormat="false" ht="15" hidden="false" customHeight="false" outlineLevel="0" collapsed="false">
      <c r="A3" s="21" t="s">
        <v>105</v>
      </c>
      <c r="B3" s="22"/>
      <c r="E3" s="21" t="s">
        <v>106</v>
      </c>
      <c r="F3" s="22"/>
      <c r="J3" s="21" t="s">
        <v>107</v>
      </c>
      <c r="K3" s="23" t="n">
        <f aca="false">SUMIFS(AB11:AB410,R11:R410,"&lt;&gt;Cancelled")</f>
        <v>0</v>
      </c>
    </row>
    <row r="4" customFormat="false" ht="15" hidden="false" customHeight="false" outlineLevel="0" collapsed="false">
      <c r="A4" s="21" t="s">
        <v>108</v>
      </c>
      <c r="B4" s="22"/>
      <c r="E4" s="21" t="s">
        <v>109</v>
      </c>
      <c r="F4" s="22"/>
    </row>
    <row r="5" customFormat="false" ht="15" hidden="false" customHeight="false" outlineLevel="0" collapsed="false">
      <c r="A5" s="21" t="s">
        <v>110</v>
      </c>
      <c r="B5" s="22"/>
      <c r="E5" s="21" t="s">
        <v>111</v>
      </c>
      <c r="F5" s="22" t="n">
        <v>0</v>
      </c>
    </row>
    <row r="6" customFormat="false" ht="15" hidden="false" customHeight="false" outlineLevel="0" collapsed="false">
      <c r="A6" s="21" t="s">
        <v>112</v>
      </c>
      <c r="B6" s="22" t="s">
        <v>113</v>
      </c>
      <c r="E6" s="21" t="s">
        <v>114</v>
      </c>
      <c r="F6" s="24"/>
    </row>
    <row r="9" customFormat="false" ht="15" hidden="false" customHeight="false" outlineLevel="0" collapsed="false">
      <c r="A9" s="25" t="s">
        <v>115</v>
      </c>
      <c r="B9" s="26" t="s">
        <v>116</v>
      </c>
      <c r="C9" s="26"/>
      <c r="D9" s="26"/>
      <c r="E9" s="26"/>
      <c r="F9" s="26"/>
      <c r="G9" s="26"/>
      <c r="H9" s="26"/>
      <c r="I9" s="26"/>
      <c r="J9" s="25" t="s">
        <v>115</v>
      </c>
      <c r="K9" s="26" t="s">
        <v>116</v>
      </c>
      <c r="L9" s="26"/>
      <c r="M9" s="26"/>
      <c r="N9" s="26"/>
      <c r="O9" s="26"/>
      <c r="P9" s="26"/>
      <c r="Q9" s="26"/>
      <c r="R9" s="27" t="s">
        <v>117</v>
      </c>
      <c r="S9" s="27"/>
      <c r="T9" s="27"/>
      <c r="U9" s="27"/>
      <c r="V9" s="27"/>
      <c r="W9" s="27"/>
      <c r="X9" s="27"/>
      <c r="Y9" s="27"/>
      <c r="Z9" s="27"/>
      <c r="AA9" s="27"/>
      <c r="AB9" s="25" t="s">
        <v>115</v>
      </c>
      <c r="AC9" s="28" t="s">
        <v>118</v>
      </c>
      <c r="AD9" s="28"/>
      <c r="AE9" s="28"/>
      <c r="AF9" s="25" t="s">
        <v>115</v>
      </c>
      <c r="AG9" s="29" t="s">
        <v>116</v>
      </c>
    </row>
    <row r="10" customFormat="false" ht="36" hidden="false" customHeight="true" outlineLevel="0" collapsed="false">
      <c r="A10" s="30" t="s">
        <v>51</v>
      </c>
      <c r="B10" s="31" t="s">
        <v>52</v>
      </c>
      <c r="C10" s="31" t="s">
        <v>53</v>
      </c>
      <c r="D10" s="31" t="s">
        <v>54</v>
      </c>
      <c r="E10" s="31" t="s">
        <v>55</v>
      </c>
      <c r="F10" s="31" t="s">
        <v>56</v>
      </c>
      <c r="G10" s="31" t="s">
        <v>57</v>
      </c>
      <c r="H10" s="31" t="s">
        <v>58</v>
      </c>
      <c r="I10" s="31" t="s">
        <v>59</v>
      </c>
      <c r="J10" s="30" t="s">
        <v>60</v>
      </c>
      <c r="K10" s="31" t="s">
        <v>61</v>
      </c>
      <c r="L10" s="31" t="s">
        <v>62</v>
      </c>
      <c r="M10" s="31" t="s">
        <v>63</v>
      </c>
      <c r="N10" s="31" t="s">
        <v>64</v>
      </c>
      <c r="O10" s="31" t="s">
        <v>65</v>
      </c>
      <c r="P10" s="31" t="s">
        <v>66</v>
      </c>
      <c r="Q10" s="31" t="s">
        <v>67</v>
      </c>
      <c r="R10" s="32" t="s">
        <v>68</v>
      </c>
      <c r="S10" s="32" t="s">
        <v>69</v>
      </c>
      <c r="T10" s="32" t="s">
        <v>70</v>
      </c>
      <c r="U10" s="32" t="s">
        <v>71</v>
      </c>
      <c r="V10" s="32" t="s">
        <v>72</v>
      </c>
      <c r="W10" s="32" t="s">
        <v>73</v>
      </c>
      <c r="X10" s="32" t="s">
        <v>74</v>
      </c>
      <c r="Y10" s="32" t="s">
        <v>75</v>
      </c>
      <c r="Z10" s="32" t="s">
        <v>76</v>
      </c>
      <c r="AA10" s="32" t="s">
        <v>77</v>
      </c>
      <c r="AB10" s="30" t="s">
        <v>78</v>
      </c>
      <c r="AC10" s="33" t="s">
        <v>79</v>
      </c>
      <c r="AD10" s="33" t="s">
        <v>80</v>
      </c>
      <c r="AE10" s="33" t="s">
        <v>81</v>
      </c>
      <c r="AF10" s="30" t="s">
        <v>82</v>
      </c>
      <c r="AG10" s="31" t="s">
        <v>83</v>
      </c>
    </row>
    <row r="11" customFormat="false" ht="15" hidden="false" customHeight="false" outlineLevel="0" collapsed="false">
      <c r="A11" s="34" t="str">
        <f aca="false">IF(B11="","",LEFT(B11,3)&amp;"-"&amp;TEXT(COUNTIF(B$11:B11,B11),"00"))</f>
        <v/>
      </c>
      <c r="B11" s="35"/>
      <c r="C11" s="35"/>
      <c r="D11" s="35"/>
      <c r="E11" s="35"/>
      <c r="F11" s="35"/>
      <c r="G11" s="35"/>
      <c r="H11" s="35"/>
      <c r="I11" s="35"/>
      <c r="J11" s="34" t="str">
        <f aca="false">IF(H11="","",H11*IF(I11="",1,I11))</f>
        <v/>
      </c>
      <c r="K11" s="35"/>
      <c r="L11" s="35"/>
      <c r="M11" s="35"/>
      <c r="N11" s="35"/>
      <c r="O11" s="35"/>
      <c r="P11" s="36"/>
      <c r="Q11" s="36"/>
      <c r="R11" s="35"/>
      <c r="S11" s="35"/>
      <c r="T11" s="35"/>
      <c r="U11" s="35"/>
      <c r="V11" s="36"/>
      <c r="W11" s="36"/>
      <c r="X11" s="35"/>
      <c r="Y11" s="35"/>
      <c r="Z11" s="36"/>
      <c r="AA11" s="37"/>
      <c r="AB11" s="38" t="str">
        <f aca="false">IF(OR(AA11="",J11=""),"",AA11*J11)</f>
        <v/>
      </c>
      <c r="AC11" s="35"/>
      <c r="AD11" s="35"/>
      <c r="AE11" s="36"/>
      <c r="AF11" s="34" t="str">
        <f aca="true">IF(OR(D11="",R11="Cancelled"),"",IF(H11="","NO QTY",IF(AND(L11="Buy",E11=""),"NO PART NO",IF(AND(W11&lt;&gt;"",NOT(OR(R11="Received",R11="NSW Purchased")),W11&lt;TODAY()),"OVERDUE",IF(AND(W11&lt;&gt;"",Q11&lt;&gt;"",W11&gt;Q11),"LATE vs REQ",IF(AND(R11="Finalized – Not Purchased",T11=""),"NEED PR",IF(AND(Y11&lt;&gt;"",Y11&lt;J11),"SHORT","")))))))</f>
        <v/>
      </c>
      <c r="AG11" s="35"/>
    </row>
    <row r="12" customFormat="false" ht="15" hidden="false" customHeight="false" outlineLevel="0" collapsed="false">
      <c r="A12" s="34" t="str">
        <f aca="false">IF(B12="","",LEFT(B12,3)&amp;"-"&amp;TEXT(COUNTIF(B$11:B12,B12),"00"))</f>
        <v/>
      </c>
      <c r="B12" s="35"/>
      <c r="C12" s="35"/>
      <c r="D12" s="35"/>
      <c r="E12" s="35"/>
      <c r="F12" s="35"/>
      <c r="G12" s="35"/>
      <c r="H12" s="35"/>
      <c r="I12" s="35"/>
      <c r="J12" s="34" t="str">
        <f aca="false">IF(H12="","",H12*IF(I12="",1,I12))</f>
        <v/>
      </c>
      <c r="K12" s="35"/>
      <c r="L12" s="35"/>
      <c r="M12" s="35"/>
      <c r="N12" s="35"/>
      <c r="O12" s="35"/>
      <c r="P12" s="36"/>
      <c r="Q12" s="36"/>
      <c r="R12" s="35"/>
      <c r="S12" s="35"/>
      <c r="T12" s="35"/>
      <c r="U12" s="35"/>
      <c r="V12" s="36"/>
      <c r="W12" s="36"/>
      <c r="X12" s="35"/>
      <c r="Y12" s="35"/>
      <c r="Z12" s="36"/>
      <c r="AA12" s="37"/>
      <c r="AB12" s="38" t="str">
        <f aca="false">IF(OR(AA12="",J12=""),"",AA12*J12)</f>
        <v/>
      </c>
      <c r="AC12" s="35"/>
      <c r="AD12" s="35"/>
      <c r="AE12" s="36"/>
      <c r="AF12" s="34" t="str">
        <f aca="true">IF(OR(D12="",R12="Cancelled"),"",IF(H12="","NO QTY",IF(AND(L12="Buy",E12=""),"NO PART NO",IF(AND(W12&lt;&gt;"",NOT(OR(R12="Received",R12="NSW Purchased")),W12&lt;TODAY()),"OVERDUE",IF(AND(W12&lt;&gt;"",Q12&lt;&gt;"",W12&gt;Q12),"LATE vs REQ",IF(AND(R12="Finalized – Not Purchased",T12=""),"NEED PR",IF(AND(Y12&lt;&gt;"",Y12&lt;J12),"SHORT","")))))))</f>
        <v/>
      </c>
      <c r="AG12" s="35"/>
    </row>
    <row r="13" customFormat="false" ht="15" hidden="false" customHeight="false" outlineLevel="0" collapsed="false">
      <c r="A13" s="34" t="str">
        <f aca="false">IF(B13="","",LEFT(B13,3)&amp;"-"&amp;TEXT(COUNTIF(B$11:B13,B13),"00"))</f>
        <v/>
      </c>
      <c r="B13" s="35"/>
      <c r="C13" s="35"/>
      <c r="D13" s="35"/>
      <c r="E13" s="35"/>
      <c r="F13" s="35"/>
      <c r="G13" s="35"/>
      <c r="H13" s="35"/>
      <c r="I13" s="35"/>
      <c r="J13" s="34" t="str">
        <f aca="false">IF(H13="","",H13*IF(I13="",1,I13))</f>
        <v/>
      </c>
      <c r="K13" s="35"/>
      <c r="L13" s="35"/>
      <c r="M13" s="35"/>
      <c r="N13" s="35"/>
      <c r="O13" s="35"/>
      <c r="P13" s="36"/>
      <c r="Q13" s="36"/>
      <c r="R13" s="35"/>
      <c r="S13" s="35"/>
      <c r="T13" s="35"/>
      <c r="U13" s="35"/>
      <c r="V13" s="36"/>
      <c r="W13" s="36"/>
      <c r="X13" s="35"/>
      <c r="Y13" s="35"/>
      <c r="Z13" s="36"/>
      <c r="AA13" s="37"/>
      <c r="AB13" s="38" t="str">
        <f aca="false">IF(OR(AA13="",J13=""),"",AA13*J13)</f>
        <v/>
      </c>
      <c r="AC13" s="35"/>
      <c r="AD13" s="35"/>
      <c r="AE13" s="36"/>
      <c r="AF13" s="34" t="str">
        <f aca="true">IF(OR(D13="",R13="Cancelled"),"",IF(H13="","NO QTY",IF(AND(L13="Buy",E13=""),"NO PART NO",IF(AND(W13&lt;&gt;"",NOT(OR(R13="Received",R13="NSW Purchased")),W13&lt;TODAY()),"OVERDUE",IF(AND(W13&lt;&gt;"",Q13&lt;&gt;"",W13&gt;Q13),"LATE vs REQ",IF(AND(R13="Finalized – Not Purchased",T13=""),"NEED PR",IF(AND(Y13&lt;&gt;"",Y13&lt;J13),"SHORT","")))))))</f>
        <v/>
      </c>
      <c r="AG13" s="35"/>
    </row>
    <row r="14" customFormat="false" ht="15" hidden="false" customHeight="false" outlineLevel="0" collapsed="false">
      <c r="A14" s="34" t="str">
        <f aca="false">IF(B14="","",LEFT(B14,3)&amp;"-"&amp;TEXT(COUNTIF(B$11:B14,B14),"00"))</f>
        <v/>
      </c>
      <c r="B14" s="35"/>
      <c r="C14" s="35"/>
      <c r="D14" s="35"/>
      <c r="E14" s="35"/>
      <c r="F14" s="35"/>
      <c r="G14" s="35"/>
      <c r="H14" s="35"/>
      <c r="I14" s="35"/>
      <c r="J14" s="34" t="str">
        <f aca="false">IF(H14="","",H14*IF(I14="",1,I14))</f>
        <v/>
      </c>
      <c r="K14" s="35"/>
      <c r="L14" s="35"/>
      <c r="M14" s="35"/>
      <c r="N14" s="35"/>
      <c r="O14" s="35"/>
      <c r="P14" s="36"/>
      <c r="Q14" s="36"/>
      <c r="R14" s="35"/>
      <c r="S14" s="35"/>
      <c r="T14" s="35"/>
      <c r="U14" s="35"/>
      <c r="V14" s="36"/>
      <c r="W14" s="36"/>
      <c r="X14" s="35"/>
      <c r="Y14" s="35"/>
      <c r="Z14" s="36"/>
      <c r="AA14" s="37"/>
      <c r="AB14" s="38" t="str">
        <f aca="false">IF(OR(AA14="",J14=""),"",AA14*J14)</f>
        <v/>
      </c>
      <c r="AC14" s="35"/>
      <c r="AD14" s="35"/>
      <c r="AE14" s="36"/>
      <c r="AF14" s="34" t="str">
        <f aca="true">IF(OR(D14="",R14="Cancelled"),"",IF(H14="","NO QTY",IF(AND(L14="Buy",E14=""),"NO PART NO",IF(AND(W14&lt;&gt;"",NOT(OR(R14="Received",R14="NSW Purchased")),W14&lt;TODAY()),"OVERDUE",IF(AND(W14&lt;&gt;"",Q14&lt;&gt;"",W14&gt;Q14),"LATE vs REQ",IF(AND(R14="Finalized – Not Purchased",T14=""),"NEED PR",IF(AND(Y14&lt;&gt;"",Y14&lt;J14),"SHORT","")))))))</f>
        <v/>
      </c>
      <c r="AG14" s="35"/>
    </row>
    <row r="15" customFormat="false" ht="15" hidden="false" customHeight="false" outlineLevel="0" collapsed="false">
      <c r="A15" s="34" t="str">
        <f aca="false">IF(B15="","",LEFT(B15,3)&amp;"-"&amp;TEXT(COUNTIF(B$11:B15,B15),"00"))</f>
        <v/>
      </c>
      <c r="B15" s="35"/>
      <c r="C15" s="35"/>
      <c r="D15" s="35"/>
      <c r="E15" s="35"/>
      <c r="F15" s="35"/>
      <c r="G15" s="35"/>
      <c r="H15" s="35"/>
      <c r="I15" s="35"/>
      <c r="J15" s="34" t="str">
        <f aca="false">IF(H15="","",H15*IF(I15="",1,I15))</f>
        <v/>
      </c>
      <c r="K15" s="35"/>
      <c r="L15" s="35"/>
      <c r="M15" s="35"/>
      <c r="N15" s="35"/>
      <c r="O15" s="35"/>
      <c r="P15" s="36"/>
      <c r="Q15" s="36"/>
      <c r="R15" s="35"/>
      <c r="S15" s="35"/>
      <c r="T15" s="35"/>
      <c r="U15" s="35"/>
      <c r="V15" s="36"/>
      <c r="W15" s="36"/>
      <c r="X15" s="35"/>
      <c r="Y15" s="35"/>
      <c r="Z15" s="36"/>
      <c r="AA15" s="37"/>
      <c r="AB15" s="38" t="str">
        <f aca="false">IF(OR(AA15="",J15=""),"",AA15*J15)</f>
        <v/>
      </c>
      <c r="AC15" s="35"/>
      <c r="AD15" s="35"/>
      <c r="AE15" s="36"/>
      <c r="AF15" s="34" t="str">
        <f aca="true">IF(OR(D15="",R15="Cancelled"),"",IF(H15="","NO QTY",IF(AND(L15="Buy",E15=""),"NO PART NO",IF(AND(W15&lt;&gt;"",NOT(OR(R15="Received",R15="NSW Purchased")),W15&lt;TODAY()),"OVERDUE",IF(AND(W15&lt;&gt;"",Q15&lt;&gt;"",W15&gt;Q15),"LATE vs REQ",IF(AND(R15="Finalized – Not Purchased",T15=""),"NEED PR",IF(AND(Y15&lt;&gt;"",Y15&lt;J15),"SHORT","")))))))</f>
        <v/>
      </c>
      <c r="AG15" s="35"/>
    </row>
    <row r="16" customFormat="false" ht="15" hidden="false" customHeight="false" outlineLevel="0" collapsed="false">
      <c r="A16" s="34" t="str">
        <f aca="false">IF(B16="","",LEFT(B16,3)&amp;"-"&amp;TEXT(COUNTIF(B$11:B16,B16),"00"))</f>
        <v/>
      </c>
      <c r="B16" s="35"/>
      <c r="C16" s="35"/>
      <c r="D16" s="35"/>
      <c r="E16" s="35"/>
      <c r="F16" s="35"/>
      <c r="G16" s="35"/>
      <c r="H16" s="35"/>
      <c r="I16" s="35"/>
      <c r="J16" s="34" t="str">
        <f aca="false">IF(H16="","",H16*IF(I16="",1,I16))</f>
        <v/>
      </c>
      <c r="K16" s="35"/>
      <c r="L16" s="35"/>
      <c r="M16" s="35"/>
      <c r="N16" s="35"/>
      <c r="O16" s="35"/>
      <c r="P16" s="36"/>
      <c r="Q16" s="36"/>
      <c r="R16" s="35"/>
      <c r="S16" s="35"/>
      <c r="T16" s="35"/>
      <c r="U16" s="35"/>
      <c r="V16" s="36"/>
      <c r="W16" s="36"/>
      <c r="X16" s="35"/>
      <c r="Y16" s="35"/>
      <c r="Z16" s="36"/>
      <c r="AA16" s="37"/>
      <c r="AB16" s="38" t="str">
        <f aca="false">IF(OR(AA16="",J16=""),"",AA16*J16)</f>
        <v/>
      </c>
      <c r="AC16" s="35"/>
      <c r="AD16" s="35"/>
      <c r="AE16" s="36"/>
      <c r="AF16" s="34" t="str">
        <f aca="true">IF(OR(D16="",R16="Cancelled"),"",IF(H16="","NO QTY",IF(AND(L16="Buy",E16=""),"NO PART NO",IF(AND(W16&lt;&gt;"",NOT(OR(R16="Received",R16="NSW Purchased")),W16&lt;TODAY()),"OVERDUE",IF(AND(W16&lt;&gt;"",Q16&lt;&gt;"",W16&gt;Q16),"LATE vs REQ",IF(AND(R16="Finalized – Not Purchased",T16=""),"NEED PR",IF(AND(Y16&lt;&gt;"",Y16&lt;J16),"SHORT","")))))))</f>
        <v/>
      </c>
      <c r="AG16" s="35"/>
    </row>
    <row r="17" customFormat="false" ht="15" hidden="false" customHeight="false" outlineLevel="0" collapsed="false">
      <c r="A17" s="34" t="str">
        <f aca="false">IF(B17="","",LEFT(B17,3)&amp;"-"&amp;TEXT(COUNTIF(B$11:B17,B17),"00"))</f>
        <v/>
      </c>
      <c r="B17" s="35"/>
      <c r="C17" s="35"/>
      <c r="D17" s="35"/>
      <c r="E17" s="35"/>
      <c r="F17" s="35"/>
      <c r="G17" s="35"/>
      <c r="H17" s="35"/>
      <c r="I17" s="35"/>
      <c r="J17" s="34" t="str">
        <f aca="false">IF(H17="","",H17*IF(I17="",1,I17))</f>
        <v/>
      </c>
      <c r="K17" s="35"/>
      <c r="L17" s="35"/>
      <c r="M17" s="35"/>
      <c r="N17" s="35"/>
      <c r="O17" s="35"/>
      <c r="P17" s="36"/>
      <c r="Q17" s="36"/>
      <c r="R17" s="35"/>
      <c r="S17" s="35"/>
      <c r="T17" s="35"/>
      <c r="U17" s="35"/>
      <c r="V17" s="36"/>
      <c r="W17" s="36"/>
      <c r="X17" s="35"/>
      <c r="Y17" s="35"/>
      <c r="Z17" s="36"/>
      <c r="AA17" s="37"/>
      <c r="AB17" s="38" t="str">
        <f aca="false">IF(OR(AA17="",J17=""),"",AA17*J17)</f>
        <v/>
      </c>
      <c r="AC17" s="35"/>
      <c r="AD17" s="35"/>
      <c r="AE17" s="36"/>
      <c r="AF17" s="34" t="str">
        <f aca="true">IF(OR(D17="",R17="Cancelled"),"",IF(H17="","NO QTY",IF(AND(L17="Buy",E17=""),"NO PART NO",IF(AND(W17&lt;&gt;"",NOT(OR(R17="Received",R17="NSW Purchased")),W17&lt;TODAY()),"OVERDUE",IF(AND(W17&lt;&gt;"",Q17&lt;&gt;"",W17&gt;Q17),"LATE vs REQ",IF(AND(R17="Finalized – Not Purchased",T17=""),"NEED PR",IF(AND(Y17&lt;&gt;"",Y17&lt;J17),"SHORT","")))))))</f>
        <v/>
      </c>
      <c r="AG17" s="35"/>
    </row>
    <row r="18" customFormat="false" ht="15" hidden="false" customHeight="false" outlineLevel="0" collapsed="false">
      <c r="A18" s="34" t="str">
        <f aca="false">IF(B18="","",LEFT(B18,3)&amp;"-"&amp;TEXT(COUNTIF(B$11:B18,B18),"00"))</f>
        <v/>
      </c>
      <c r="B18" s="35"/>
      <c r="C18" s="35"/>
      <c r="D18" s="35"/>
      <c r="E18" s="35"/>
      <c r="F18" s="35"/>
      <c r="G18" s="35"/>
      <c r="H18" s="35"/>
      <c r="I18" s="35"/>
      <c r="J18" s="34" t="str">
        <f aca="false">IF(H18="","",H18*IF(I18="",1,I18))</f>
        <v/>
      </c>
      <c r="K18" s="35"/>
      <c r="L18" s="35"/>
      <c r="M18" s="35"/>
      <c r="N18" s="35"/>
      <c r="O18" s="35"/>
      <c r="P18" s="36"/>
      <c r="Q18" s="36"/>
      <c r="R18" s="35"/>
      <c r="S18" s="35"/>
      <c r="T18" s="35"/>
      <c r="U18" s="35"/>
      <c r="V18" s="36"/>
      <c r="W18" s="36"/>
      <c r="X18" s="35"/>
      <c r="Y18" s="35"/>
      <c r="Z18" s="36"/>
      <c r="AA18" s="37"/>
      <c r="AB18" s="38" t="str">
        <f aca="false">IF(OR(AA18="",J18=""),"",AA18*J18)</f>
        <v/>
      </c>
      <c r="AC18" s="35"/>
      <c r="AD18" s="35"/>
      <c r="AE18" s="36"/>
      <c r="AF18" s="34" t="str">
        <f aca="true">IF(OR(D18="",R18="Cancelled"),"",IF(H18="","NO QTY",IF(AND(L18="Buy",E18=""),"NO PART NO",IF(AND(W18&lt;&gt;"",NOT(OR(R18="Received",R18="NSW Purchased")),W18&lt;TODAY()),"OVERDUE",IF(AND(W18&lt;&gt;"",Q18&lt;&gt;"",W18&gt;Q18),"LATE vs REQ",IF(AND(R18="Finalized – Not Purchased",T18=""),"NEED PR",IF(AND(Y18&lt;&gt;"",Y18&lt;J18),"SHORT","")))))))</f>
        <v/>
      </c>
      <c r="AG18" s="35"/>
    </row>
    <row r="19" customFormat="false" ht="15" hidden="false" customHeight="false" outlineLevel="0" collapsed="false">
      <c r="A19" s="34" t="str">
        <f aca="false">IF(B19="","",LEFT(B19,3)&amp;"-"&amp;TEXT(COUNTIF(B$11:B19,B19),"00"))</f>
        <v/>
      </c>
      <c r="B19" s="35"/>
      <c r="C19" s="35"/>
      <c r="D19" s="35"/>
      <c r="E19" s="35"/>
      <c r="F19" s="35"/>
      <c r="G19" s="35"/>
      <c r="H19" s="35"/>
      <c r="I19" s="35"/>
      <c r="J19" s="34" t="str">
        <f aca="false">IF(H19="","",H19*IF(I19="",1,I19))</f>
        <v/>
      </c>
      <c r="K19" s="35"/>
      <c r="L19" s="35"/>
      <c r="M19" s="35"/>
      <c r="N19" s="35"/>
      <c r="O19" s="35"/>
      <c r="P19" s="36"/>
      <c r="Q19" s="36"/>
      <c r="R19" s="35"/>
      <c r="S19" s="35"/>
      <c r="T19" s="35"/>
      <c r="U19" s="35"/>
      <c r="V19" s="36"/>
      <c r="W19" s="36"/>
      <c r="X19" s="35"/>
      <c r="Y19" s="35"/>
      <c r="Z19" s="36"/>
      <c r="AA19" s="37"/>
      <c r="AB19" s="38" t="str">
        <f aca="false">IF(OR(AA19="",J19=""),"",AA19*J19)</f>
        <v/>
      </c>
      <c r="AC19" s="35"/>
      <c r="AD19" s="35"/>
      <c r="AE19" s="36"/>
      <c r="AF19" s="34" t="str">
        <f aca="true">IF(OR(D19="",R19="Cancelled"),"",IF(H19="","NO QTY",IF(AND(L19="Buy",E19=""),"NO PART NO",IF(AND(W19&lt;&gt;"",NOT(OR(R19="Received",R19="NSW Purchased")),W19&lt;TODAY()),"OVERDUE",IF(AND(W19&lt;&gt;"",Q19&lt;&gt;"",W19&gt;Q19),"LATE vs REQ",IF(AND(R19="Finalized – Not Purchased",T19=""),"NEED PR",IF(AND(Y19&lt;&gt;"",Y19&lt;J19),"SHORT","")))))))</f>
        <v/>
      </c>
      <c r="AG19" s="35"/>
    </row>
    <row r="20" customFormat="false" ht="15" hidden="false" customHeight="false" outlineLevel="0" collapsed="false">
      <c r="A20" s="34" t="str">
        <f aca="false">IF(B20="","",LEFT(B20,3)&amp;"-"&amp;TEXT(COUNTIF(B$11:B20,B20),"00"))</f>
        <v/>
      </c>
      <c r="B20" s="35"/>
      <c r="C20" s="35"/>
      <c r="D20" s="35"/>
      <c r="E20" s="35"/>
      <c r="F20" s="35"/>
      <c r="G20" s="35"/>
      <c r="H20" s="35"/>
      <c r="I20" s="35"/>
      <c r="J20" s="34" t="str">
        <f aca="false">IF(H20="","",H20*IF(I20="",1,I20))</f>
        <v/>
      </c>
      <c r="K20" s="35"/>
      <c r="L20" s="35"/>
      <c r="M20" s="35"/>
      <c r="N20" s="35"/>
      <c r="O20" s="35"/>
      <c r="P20" s="36"/>
      <c r="Q20" s="36"/>
      <c r="R20" s="35"/>
      <c r="S20" s="35"/>
      <c r="T20" s="35"/>
      <c r="U20" s="35"/>
      <c r="V20" s="36"/>
      <c r="W20" s="36"/>
      <c r="X20" s="35"/>
      <c r="Y20" s="35"/>
      <c r="Z20" s="36"/>
      <c r="AA20" s="37"/>
      <c r="AB20" s="38" t="str">
        <f aca="false">IF(OR(AA20="",J20=""),"",AA20*J20)</f>
        <v/>
      </c>
      <c r="AC20" s="35"/>
      <c r="AD20" s="35"/>
      <c r="AE20" s="36"/>
      <c r="AF20" s="34" t="str">
        <f aca="true">IF(OR(D20="",R20="Cancelled"),"",IF(H20="","NO QTY",IF(AND(L20="Buy",E20=""),"NO PART NO",IF(AND(W20&lt;&gt;"",NOT(OR(R20="Received",R20="NSW Purchased")),W20&lt;TODAY()),"OVERDUE",IF(AND(W20&lt;&gt;"",Q20&lt;&gt;"",W20&gt;Q20),"LATE vs REQ",IF(AND(R20="Finalized – Not Purchased",T20=""),"NEED PR",IF(AND(Y20&lt;&gt;"",Y20&lt;J20),"SHORT","")))))))</f>
        <v/>
      </c>
      <c r="AG20" s="35"/>
    </row>
    <row r="21" customFormat="false" ht="15" hidden="false" customHeight="false" outlineLevel="0" collapsed="false">
      <c r="A21" s="34" t="str">
        <f aca="false">IF(B21="","",LEFT(B21,3)&amp;"-"&amp;TEXT(COUNTIF(B$11:B21,B21),"00"))</f>
        <v/>
      </c>
      <c r="B21" s="35"/>
      <c r="C21" s="35"/>
      <c r="D21" s="35"/>
      <c r="E21" s="35"/>
      <c r="F21" s="35"/>
      <c r="G21" s="35"/>
      <c r="H21" s="35"/>
      <c r="I21" s="35"/>
      <c r="J21" s="34" t="str">
        <f aca="false">IF(H21="","",H21*IF(I21="",1,I21))</f>
        <v/>
      </c>
      <c r="K21" s="35"/>
      <c r="L21" s="35"/>
      <c r="M21" s="35"/>
      <c r="N21" s="35"/>
      <c r="O21" s="35"/>
      <c r="P21" s="36"/>
      <c r="Q21" s="36"/>
      <c r="R21" s="35"/>
      <c r="S21" s="35"/>
      <c r="T21" s="35"/>
      <c r="U21" s="35"/>
      <c r="V21" s="36"/>
      <c r="W21" s="36"/>
      <c r="X21" s="35"/>
      <c r="Y21" s="35"/>
      <c r="Z21" s="36"/>
      <c r="AA21" s="37"/>
      <c r="AB21" s="38" t="str">
        <f aca="false">IF(OR(AA21="",J21=""),"",AA21*J21)</f>
        <v/>
      </c>
      <c r="AC21" s="35"/>
      <c r="AD21" s="35"/>
      <c r="AE21" s="36"/>
      <c r="AF21" s="34" t="str">
        <f aca="true">IF(OR(D21="",R21="Cancelled"),"",IF(H21="","NO QTY",IF(AND(L21="Buy",E21=""),"NO PART NO",IF(AND(W21&lt;&gt;"",NOT(OR(R21="Received",R21="NSW Purchased")),W21&lt;TODAY()),"OVERDUE",IF(AND(W21&lt;&gt;"",Q21&lt;&gt;"",W21&gt;Q21),"LATE vs REQ",IF(AND(R21="Finalized – Not Purchased",T21=""),"NEED PR",IF(AND(Y21&lt;&gt;"",Y21&lt;J21),"SHORT","")))))))</f>
        <v/>
      </c>
      <c r="AG21" s="35"/>
    </row>
    <row r="22" customFormat="false" ht="15" hidden="false" customHeight="false" outlineLevel="0" collapsed="false">
      <c r="A22" s="34" t="str">
        <f aca="false">IF(B22="","",LEFT(B22,3)&amp;"-"&amp;TEXT(COUNTIF(B$11:B22,B22),"00"))</f>
        <v/>
      </c>
      <c r="B22" s="35"/>
      <c r="C22" s="35"/>
      <c r="D22" s="35"/>
      <c r="E22" s="35"/>
      <c r="F22" s="35"/>
      <c r="G22" s="35"/>
      <c r="H22" s="35"/>
      <c r="I22" s="35"/>
      <c r="J22" s="34" t="str">
        <f aca="false">IF(H22="","",H22*IF(I22="",1,I22))</f>
        <v/>
      </c>
      <c r="K22" s="35"/>
      <c r="L22" s="35"/>
      <c r="M22" s="35"/>
      <c r="N22" s="35"/>
      <c r="O22" s="35"/>
      <c r="P22" s="36"/>
      <c r="Q22" s="36"/>
      <c r="R22" s="35"/>
      <c r="S22" s="35"/>
      <c r="T22" s="35"/>
      <c r="U22" s="35"/>
      <c r="V22" s="36"/>
      <c r="W22" s="36"/>
      <c r="X22" s="35"/>
      <c r="Y22" s="35"/>
      <c r="Z22" s="36"/>
      <c r="AA22" s="37"/>
      <c r="AB22" s="38" t="str">
        <f aca="false">IF(OR(AA22="",J22=""),"",AA22*J22)</f>
        <v/>
      </c>
      <c r="AC22" s="35"/>
      <c r="AD22" s="35"/>
      <c r="AE22" s="36"/>
      <c r="AF22" s="34" t="str">
        <f aca="true">IF(OR(D22="",R22="Cancelled"),"",IF(H22="","NO QTY",IF(AND(L22="Buy",E22=""),"NO PART NO",IF(AND(W22&lt;&gt;"",NOT(OR(R22="Received",R22="NSW Purchased")),W22&lt;TODAY()),"OVERDUE",IF(AND(W22&lt;&gt;"",Q22&lt;&gt;"",W22&gt;Q22),"LATE vs REQ",IF(AND(R22="Finalized – Not Purchased",T22=""),"NEED PR",IF(AND(Y22&lt;&gt;"",Y22&lt;J22),"SHORT","")))))))</f>
        <v/>
      </c>
      <c r="AG22" s="35"/>
    </row>
    <row r="23" customFormat="false" ht="15" hidden="false" customHeight="false" outlineLevel="0" collapsed="false">
      <c r="A23" s="34" t="str">
        <f aca="false">IF(B23="","",LEFT(B23,3)&amp;"-"&amp;TEXT(COUNTIF(B$11:B23,B23),"00"))</f>
        <v/>
      </c>
      <c r="B23" s="35"/>
      <c r="C23" s="35"/>
      <c r="D23" s="35"/>
      <c r="E23" s="35"/>
      <c r="F23" s="35"/>
      <c r="G23" s="35"/>
      <c r="H23" s="35"/>
      <c r="I23" s="35"/>
      <c r="J23" s="34" t="str">
        <f aca="false">IF(H23="","",H23*IF(I23="",1,I23))</f>
        <v/>
      </c>
      <c r="K23" s="35"/>
      <c r="L23" s="35"/>
      <c r="M23" s="35"/>
      <c r="N23" s="35"/>
      <c r="O23" s="35"/>
      <c r="P23" s="36"/>
      <c r="Q23" s="36"/>
      <c r="R23" s="35"/>
      <c r="S23" s="35"/>
      <c r="T23" s="35"/>
      <c r="U23" s="35"/>
      <c r="V23" s="36"/>
      <c r="W23" s="36"/>
      <c r="X23" s="35"/>
      <c r="Y23" s="35"/>
      <c r="Z23" s="36"/>
      <c r="AA23" s="37"/>
      <c r="AB23" s="38" t="str">
        <f aca="false">IF(OR(AA23="",J23=""),"",AA23*J23)</f>
        <v/>
      </c>
      <c r="AC23" s="35"/>
      <c r="AD23" s="35"/>
      <c r="AE23" s="36"/>
      <c r="AF23" s="34" t="str">
        <f aca="true">IF(OR(D23="",R23="Cancelled"),"",IF(H23="","NO QTY",IF(AND(L23="Buy",E23=""),"NO PART NO",IF(AND(W23&lt;&gt;"",NOT(OR(R23="Received",R23="NSW Purchased")),W23&lt;TODAY()),"OVERDUE",IF(AND(W23&lt;&gt;"",Q23&lt;&gt;"",W23&gt;Q23),"LATE vs REQ",IF(AND(R23="Finalized – Not Purchased",T23=""),"NEED PR",IF(AND(Y23&lt;&gt;"",Y23&lt;J23),"SHORT","")))))))</f>
        <v/>
      </c>
      <c r="AG23" s="35"/>
    </row>
    <row r="24" customFormat="false" ht="15" hidden="false" customHeight="false" outlineLevel="0" collapsed="false">
      <c r="A24" s="34" t="str">
        <f aca="false">IF(B24="","",LEFT(B24,3)&amp;"-"&amp;TEXT(COUNTIF(B$11:B24,B24),"00"))</f>
        <v/>
      </c>
      <c r="B24" s="35"/>
      <c r="C24" s="35"/>
      <c r="D24" s="35"/>
      <c r="E24" s="35"/>
      <c r="F24" s="35"/>
      <c r="G24" s="35"/>
      <c r="H24" s="35"/>
      <c r="I24" s="35"/>
      <c r="J24" s="34" t="str">
        <f aca="false">IF(H24="","",H24*IF(I24="",1,I24))</f>
        <v/>
      </c>
      <c r="K24" s="35"/>
      <c r="L24" s="35"/>
      <c r="M24" s="35"/>
      <c r="N24" s="35"/>
      <c r="O24" s="35"/>
      <c r="P24" s="36"/>
      <c r="Q24" s="36"/>
      <c r="R24" s="35"/>
      <c r="S24" s="35"/>
      <c r="T24" s="35"/>
      <c r="U24" s="35"/>
      <c r="V24" s="36"/>
      <c r="W24" s="36"/>
      <c r="X24" s="35"/>
      <c r="Y24" s="35"/>
      <c r="Z24" s="36"/>
      <c r="AA24" s="37"/>
      <c r="AB24" s="38" t="str">
        <f aca="false">IF(OR(AA24="",J24=""),"",AA24*J24)</f>
        <v/>
      </c>
      <c r="AC24" s="35"/>
      <c r="AD24" s="35"/>
      <c r="AE24" s="36"/>
      <c r="AF24" s="34" t="str">
        <f aca="true">IF(OR(D24="",R24="Cancelled"),"",IF(H24="","NO QTY",IF(AND(L24="Buy",E24=""),"NO PART NO",IF(AND(W24&lt;&gt;"",NOT(OR(R24="Received",R24="NSW Purchased")),W24&lt;TODAY()),"OVERDUE",IF(AND(W24&lt;&gt;"",Q24&lt;&gt;"",W24&gt;Q24),"LATE vs REQ",IF(AND(R24="Finalized – Not Purchased",T24=""),"NEED PR",IF(AND(Y24&lt;&gt;"",Y24&lt;J24),"SHORT","")))))))</f>
        <v/>
      </c>
      <c r="AG24" s="35"/>
    </row>
    <row r="25" customFormat="false" ht="15" hidden="false" customHeight="false" outlineLevel="0" collapsed="false">
      <c r="A25" s="34" t="str">
        <f aca="false">IF(B25="","",LEFT(B25,3)&amp;"-"&amp;TEXT(COUNTIF(B$11:B25,B25),"00"))</f>
        <v/>
      </c>
      <c r="B25" s="35"/>
      <c r="C25" s="35"/>
      <c r="D25" s="35"/>
      <c r="E25" s="35"/>
      <c r="F25" s="35"/>
      <c r="G25" s="35"/>
      <c r="H25" s="35"/>
      <c r="I25" s="35"/>
      <c r="J25" s="34" t="str">
        <f aca="false">IF(H25="","",H25*IF(I25="",1,I25))</f>
        <v/>
      </c>
      <c r="K25" s="35"/>
      <c r="L25" s="35"/>
      <c r="M25" s="35"/>
      <c r="N25" s="35"/>
      <c r="O25" s="35"/>
      <c r="P25" s="36"/>
      <c r="Q25" s="36"/>
      <c r="R25" s="35"/>
      <c r="S25" s="35"/>
      <c r="T25" s="35"/>
      <c r="U25" s="35"/>
      <c r="V25" s="36"/>
      <c r="W25" s="36"/>
      <c r="X25" s="35"/>
      <c r="Y25" s="35"/>
      <c r="Z25" s="36"/>
      <c r="AA25" s="37"/>
      <c r="AB25" s="38" t="str">
        <f aca="false">IF(OR(AA25="",J25=""),"",AA25*J25)</f>
        <v/>
      </c>
      <c r="AC25" s="35"/>
      <c r="AD25" s="35"/>
      <c r="AE25" s="36"/>
      <c r="AF25" s="34" t="str">
        <f aca="true">IF(OR(D25="",R25="Cancelled"),"",IF(H25="","NO QTY",IF(AND(L25="Buy",E25=""),"NO PART NO",IF(AND(W25&lt;&gt;"",NOT(OR(R25="Received",R25="NSW Purchased")),W25&lt;TODAY()),"OVERDUE",IF(AND(W25&lt;&gt;"",Q25&lt;&gt;"",W25&gt;Q25),"LATE vs REQ",IF(AND(R25="Finalized – Not Purchased",T25=""),"NEED PR",IF(AND(Y25&lt;&gt;"",Y25&lt;J25),"SHORT","")))))))</f>
        <v/>
      </c>
      <c r="AG25" s="35"/>
    </row>
    <row r="26" customFormat="false" ht="15" hidden="false" customHeight="false" outlineLevel="0" collapsed="false">
      <c r="A26" s="34" t="str">
        <f aca="false">IF(B26="","",LEFT(B26,3)&amp;"-"&amp;TEXT(COUNTIF(B$11:B26,B26),"00"))</f>
        <v/>
      </c>
      <c r="B26" s="35"/>
      <c r="C26" s="35"/>
      <c r="D26" s="35"/>
      <c r="E26" s="35"/>
      <c r="F26" s="35"/>
      <c r="G26" s="35"/>
      <c r="H26" s="35"/>
      <c r="I26" s="35"/>
      <c r="J26" s="34" t="str">
        <f aca="false">IF(H26="","",H26*IF(I26="",1,I26))</f>
        <v/>
      </c>
      <c r="K26" s="35"/>
      <c r="L26" s="35"/>
      <c r="M26" s="35"/>
      <c r="N26" s="35"/>
      <c r="O26" s="35"/>
      <c r="P26" s="36"/>
      <c r="Q26" s="36"/>
      <c r="R26" s="35"/>
      <c r="S26" s="35"/>
      <c r="T26" s="35"/>
      <c r="U26" s="35"/>
      <c r="V26" s="36"/>
      <c r="W26" s="36"/>
      <c r="X26" s="35"/>
      <c r="Y26" s="35"/>
      <c r="Z26" s="36"/>
      <c r="AA26" s="37"/>
      <c r="AB26" s="38" t="str">
        <f aca="false">IF(OR(AA26="",J26=""),"",AA26*J26)</f>
        <v/>
      </c>
      <c r="AC26" s="35"/>
      <c r="AD26" s="35"/>
      <c r="AE26" s="36"/>
      <c r="AF26" s="34" t="str">
        <f aca="true">IF(OR(D26="",R26="Cancelled"),"",IF(H26="","NO QTY",IF(AND(L26="Buy",E26=""),"NO PART NO",IF(AND(W26&lt;&gt;"",NOT(OR(R26="Received",R26="NSW Purchased")),W26&lt;TODAY()),"OVERDUE",IF(AND(W26&lt;&gt;"",Q26&lt;&gt;"",W26&gt;Q26),"LATE vs REQ",IF(AND(R26="Finalized – Not Purchased",T26=""),"NEED PR",IF(AND(Y26&lt;&gt;"",Y26&lt;J26),"SHORT","")))))))</f>
        <v/>
      </c>
      <c r="AG26" s="35"/>
    </row>
    <row r="27" customFormat="false" ht="15" hidden="false" customHeight="false" outlineLevel="0" collapsed="false">
      <c r="A27" s="34" t="str">
        <f aca="false">IF(B27="","",LEFT(B27,3)&amp;"-"&amp;TEXT(COUNTIF(B$11:B27,B27),"00"))</f>
        <v/>
      </c>
      <c r="B27" s="35"/>
      <c r="C27" s="35"/>
      <c r="D27" s="35"/>
      <c r="E27" s="35"/>
      <c r="F27" s="35"/>
      <c r="G27" s="35"/>
      <c r="H27" s="35"/>
      <c r="I27" s="35"/>
      <c r="J27" s="34" t="str">
        <f aca="false">IF(H27="","",H27*IF(I27="",1,I27))</f>
        <v/>
      </c>
      <c r="K27" s="35"/>
      <c r="L27" s="35"/>
      <c r="M27" s="35"/>
      <c r="N27" s="35"/>
      <c r="O27" s="35"/>
      <c r="P27" s="36"/>
      <c r="Q27" s="36"/>
      <c r="R27" s="35"/>
      <c r="S27" s="35"/>
      <c r="T27" s="35"/>
      <c r="U27" s="35"/>
      <c r="V27" s="36"/>
      <c r="W27" s="36"/>
      <c r="X27" s="35"/>
      <c r="Y27" s="35"/>
      <c r="Z27" s="36"/>
      <c r="AA27" s="37"/>
      <c r="AB27" s="38" t="str">
        <f aca="false">IF(OR(AA27="",J27=""),"",AA27*J27)</f>
        <v/>
      </c>
      <c r="AC27" s="35"/>
      <c r="AD27" s="35"/>
      <c r="AE27" s="36"/>
      <c r="AF27" s="34" t="str">
        <f aca="true">IF(OR(D27="",R27="Cancelled"),"",IF(H27="","NO QTY",IF(AND(L27="Buy",E27=""),"NO PART NO",IF(AND(W27&lt;&gt;"",NOT(OR(R27="Received",R27="NSW Purchased")),W27&lt;TODAY()),"OVERDUE",IF(AND(W27&lt;&gt;"",Q27&lt;&gt;"",W27&gt;Q27),"LATE vs REQ",IF(AND(R27="Finalized – Not Purchased",T27=""),"NEED PR",IF(AND(Y27&lt;&gt;"",Y27&lt;J27),"SHORT","")))))))</f>
        <v/>
      </c>
      <c r="AG27" s="35"/>
    </row>
    <row r="28" customFormat="false" ht="15" hidden="false" customHeight="false" outlineLevel="0" collapsed="false">
      <c r="A28" s="34" t="str">
        <f aca="false">IF(B28="","",LEFT(B28,3)&amp;"-"&amp;TEXT(COUNTIF(B$11:B28,B28),"00"))</f>
        <v/>
      </c>
      <c r="B28" s="35"/>
      <c r="C28" s="35"/>
      <c r="D28" s="35"/>
      <c r="E28" s="35"/>
      <c r="F28" s="35"/>
      <c r="G28" s="35"/>
      <c r="H28" s="35"/>
      <c r="I28" s="35"/>
      <c r="J28" s="34" t="str">
        <f aca="false">IF(H28="","",H28*IF(I28="",1,I28))</f>
        <v/>
      </c>
      <c r="K28" s="35"/>
      <c r="L28" s="35"/>
      <c r="M28" s="35"/>
      <c r="N28" s="35"/>
      <c r="O28" s="35"/>
      <c r="P28" s="36"/>
      <c r="Q28" s="36"/>
      <c r="R28" s="35"/>
      <c r="S28" s="35"/>
      <c r="T28" s="35"/>
      <c r="U28" s="35"/>
      <c r="V28" s="36"/>
      <c r="W28" s="36"/>
      <c r="X28" s="35"/>
      <c r="Y28" s="35"/>
      <c r="Z28" s="36"/>
      <c r="AA28" s="37"/>
      <c r="AB28" s="38" t="str">
        <f aca="false">IF(OR(AA28="",J28=""),"",AA28*J28)</f>
        <v/>
      </c>
      <c r="AC28" s="35"/>
      <c r="AD28" s="35"/>
      <c r="AE28" s="36"/>
      <c r="AF28" s="34" t="str">
        <f aca="true">IF(OR(D28="",R28="Cancelled"),"",IF(H28="","NO QTY",IF(AND(L28="Buy",E28=""),"NO PART NO",IF(AND(W28&lt;&gt;"",NOT(OR(R28="Received",R28="NSW Purchased")),W28&lt;TODAY()),"OVERDUE",IF(AND(W28&lt;&gt;"",Q28&lt;&gt;"",W28&gt;Q28),"LATE vs REQ",IF(AND(R28="Finalized – Not Purchased",T28=""),"NEED PR",IF(AND(Y28&lt;&gt;"",Y28&lt;J28),"SHORT","")))))))</f>
        <v/>
      </c>
      <c r="AG28" s="35"/>
    </row>
    <row r="29" customFormat="false" ht="15" hidden="false" customHeight="false" outlineLevel="0" collapsed="false">
      <c r="A29" s="34" t="str">
        <f aca="false">IF(B29="","",LEFT(B29,3)&amp;"-"&amp;TEXT(COUNTIF(B$11:B29,B29),"00"))</f>
        <v/>
      </c>
      <c r="B29" s="35"/>
      <c r="C29" s="35"/>
      <c r="D29" s="35"/>
      <c r="E29" s="35"/>
      <c r="F29" s="35"/>
      <c r="G29" s="35"/>
      <c r="H29" s="35"/>
      <c r="I29" s="35"/>
      <c r="J29" s="34" t="str">
        <f aca="false">IF(H29="","",H29*IF(I29="",1,I29))</f>
        <v/>
      </c>
      <c r="K29" s="35"/>
      <c r="L29" s="35"/>
      <c r="M29" s="35"/>
      <c r="N29" s="35"/>
      <c r="O29" s="35"/>
      <c r="P29" s="36"/>
      <c r="Q29" s="36"/>
      <c r="R29" s="35"/>
      <c r="S29" s="35"/>
      <c r="T29" s="35"/>
      <c r="U29" s="35"/>
      <c r="V29" s="36"/>
      <c r="W29" s="36"/>
      <c r="X29" s="35"/>
      <c r="Y29" s="35"/>
      <c r="Z29" s="36"/>
      <c r="AA29" s="37"/>
      <c r="AB29" s="38" t="str">
        <f aca="false">IF(OR(AA29="",J29=""),"",AA29*J29)</f>
        <v/>
      </c>
      <c r="AC29" s="35"/>
      <c r="AD29" s="35"/>
      <c r="AE29" s="36"/>
      <c r="AF29" s="34" t="str">
        <f aca="true">IF(OR(D29="",R29="Cancelled"),"",IF(H29="","NO QTY",IF(AND(L29="Buy",E29=""),"NO PART NO",IF(AND(W29&lt;&gt;"",NOT(OR(R29="Received",R29="NSW Purchased")),W29&lt;TODAY()),"OVERDUE",IF(AND(W29&lt;&gt;"",Q29&lt;&gt;"",W29&gt;Q29),"LATE vs REQ",IF(AND(R29="Finalized – Not Purchased",T29=""),"NEED PR",IF(AND(Y29&lt;&gt;"",Y29&lt;J29),"SHORT","")))))))</f>
        <v/>
      </c>
      <c r="AG29" s="35"/>
    </row>
    <row r="30" customFormat="false" ht="15" hidden="false" customHeight="false" outlineLevel="0" collapsed="false">
      <c r="A30" s="34" t="str">
        <f aca="false">IF(B30="","",LEFT(B30,3)&amp;"-"&amp;TEXT(COUNTIF(B$11:B30,B30),"00"))</f>
        <v/>
      </c>
      <c r="B30" s="35"/>
      <c r="C30" s="35"/>
      <c r="D30" s="35"/>
      <c r="E30" s="35"/>
      <c r="F30" s="35"/>
      <c r="G30" s="35"/>
      <c r="H30" s="35"/>
      <c r="I30" s="35"/>
      <c r="J30" s="34" t="str">
        <f aca="false">IF(H30="","",H30*IF(I30="",1,I30))</f>
        <v/>
      </c>
      <c r="K30" s="35"/>
      <c r="L30" s="35"/>
      <c r="M30" s="35"/>
      <c r="N30" s="35"/>
      <c r="O30" s="35"/>
      <c r="P30" s="36"/>
      <c r="Q30" s="36"/>
      <c r="R30" s="35"/>
      <c r="S30" s="35"/>
      <c r="T30" s="35"/>
      <c r="U30" s="35"/>
      <c r="V30" s="36"/>
      <c r="W30" s="36"/>
      <c r="X30" s="35"/>
      <c r="Y30" s="35"/>
      <c r="Z30" s="36"/>
      <c r="AA30" s="37"/>
      <c r="AB30" s="38" t="str">
        <f aca="false">IF(OR(AA30="",J30=""),"",AA30*J30)</f>
        <v/>
      </c>
      <c r="AC30" s="35"/>
      <c r="AD30" s="35"/>
      <c r="AE30" s="36"/>
      <c r="AF30" s="34" t="str">
        <f aca="true">IF(OR(D30="",R30="Cancelled"),"",IF(H30="","NO QTY",IF(AND(L30="Buy",E30=""),"NO PART NO",IF(AND(W30&lt;&gt;"",NOT(OR(R30="Received",R30="NSW Purchased")),W30&lt;TODAY()),"OVERDUE",IF(AND(W30&lt;&gt;"",Q30&lt;&gt;"",W30&gt;Q30),"LATE vs REQ",IF(AND(R30="Finalized – Not Purchased",T30=""),"NEED PR",IF(AND(Y30&lt;&gt;"",Y30&lt;J30),"SHORT","")))))))</f>
        <v/>
      </c>
      <c r="AG30" s="35"/>
    </row>
    <row r="31" customFormat="false" ht="15" hidden="false" customHeight="false" outlineLevel="0" collapsed="false">
      <c r="A31" s="34" t="str">
        <f aca="false">IF(B31="","",LEFT(B31,3)&amp;"-"&amp;TEXT(COUNTIF(B$11:B31,B31),"00"))</f>
        <v/>
      </c>
      <c r="B31" s="35"/>
      <c r="C31" s="35"/>
      <c r="D31" s="35"/>
      <c r="E31" s="35"/>
      <c r="F31" s="35"/>
      <c r="G31" s="35"/>
      <c r="H31" s="35"/>
      <c r="I31" s="35"/>
      <c r="J31" s="34" t="str">
        <f aca="false">IF(H31="","",H31*IF(I31="",1,I31))</f>
        <v/>
      </c>
      <c r="K31" s="35"/>
      <c r="L31" s="35"/>
      <c r="M31" s="35"/>
      <c r="N31" s="35"/>
      <c r="O31" s="35"/>
      <c r="P31" s="36"/>
      <c r="Q31" s="36"/>
      <c r="R31" s="35"/>
      <c r="S31" s="35"/>
      <c r="T31" s="35"/>
      <c r="U31" s="35"/>
      <c r="V31" s="36"/>
      <c r="W31" s="36"/>
      <c r="X31" s="35"/>
      <c r="Y31" s="35"/>
      <c r="Z31" s="36"/>
      <c r="AA31" s="37"/>
      <c r="AB31" s="38" t="str">
        <f aca="false">IF(OR(AA31="",J31=""),"",AA31*J31)</f>
        <v/>
      </c>
      <c r="AC31" s="35"/>
      <c r="AD31" s="35"/>
      <c r="AE31" s="36"/>
      <c r="AF31" s="34" t="str">
        <f aca="true">IF(OR(D31="",R31="Cancelled"),"",IF(H31="","NO QTY",IF(AND(L31="Buy",E31=""),"NO PART NO",IF(AND(W31&lt;&gt;"",NOT(OR(R31="Received",R31="NSW Purchased")),W31&lt;TODAY()),"OVERDUE",IF(AND(W31&lt;&gt;"",Q31&lt;&gt;"",W31&gt;Q31),"LATE vs REQ",IF(AND(R31="Finalized – Not Purchased",T31=""),"NEED PR",IF(AND(Y31&lt;&gt;"",Y31&lt;J31),"SHORT","")))))))</f>
        <v/>
      </c>
      <c r="AG31" s="35"/>
    </row>
    <row r="32" customFormat="false" ht="15" hidden="false" customHeight="false" outlineLevel="0" collapsed="false">
      <c r="A32" s="34" t="str">
        <f aca="false">IF(B32="","",LEFT(B32,3)&amp;"-"&amp;TEXT(COUNTIF(B$11:B32,B32),"00"))</f>
        <v/>
      </c>
      <c r="B32" s="35"/>
      <c r="C32" s="35"/>
      <c r="D32" s="35"/>
      <c r="E32" s="35"/>
      <c r="F32" s="35"/>
      <c r="G32" s="35"/>
      <c r="H32" s="35"/>
      <c r="I32" s="35"/>
      <c r="J32" s="34" t="str">
        <f aca="false">IF(H32="","",H32*IF(I32="",1,I32))</f>
        <v/>
      </c>
      <c r="K32" s="35"/>
      <c r="L32" s="35"/>
      <c r="M32" s="35"/>
      <c r="N32" s="35"/>
      <c r="O32" s="35"/>
      <c r="P32" s="36"/>
      <c r="Q32" s="36"/>
      <c r="R32" s="35"/>
      <c r="S32" s="35"/>
      <c r="T32" s="35"/>
      <c r="U32" s="35"/>
      <c r="V32" s="36"/>
      <c r="W32" s="36"/>
      <c r="X32" s="35"/>
      <c r="Y32" s="35"/>
      <c r="Z32" s="36"/>
      <c r="AA32" s="37"/>
      <c r="AB32" s="38" t="str">
        <f aca="false">IF(OR(AA32="",J32=""),"",AA32*J32)</f>
        <v/>
      </c>
      <c r="AC32" s="35"/>
      <c r="AD32" s="35"/>
      <c r="AE32" s="36"/>
      <c r="AF32" s="34" t="str">
        <f aca="true">IF(OR(D32="",R32="Cancelled"),"",IF(H32="","NO QTY",IF(AND(L32="Buy",E32=""),"NO PART NO",IF(AND(W32&lt;&gt;"",NOT(OR(R32="Received",R32="NSW Purchased")),W32&lt;TODAY()),"OVERDUE",IF(AND(W32&lt;&gt;"",Q32&lt;&gt;"",W32&gt;Q32),"LATE vs REQ",IF(AND(R32="Finalized – Not Purchased",T32=""),"NEED PR",IF(AND(Y32&lt;&gt;"",Y32&lt;J32),"SHORT","")))))))</f>
        <v/>
      </c>
      <c r="AG32" s="35"/>
    </row>
    <row r="33" customFormat="false" ht="15" hidden="false" customHeight="false" outlineLevel="0" collapsed="false">
      <c r="A33" s="34" t="str">
        <f aca="false">IF(B33="","",LEFT(B33,3)&amp;"-"&amp;TEXT(COUNTIF(B$11:B33,B33),"00"))</f>
        <v/>
      </c>
      <c r="B33" s="35"/>
      <c r="C33" s="35"/>
      <c r="D33" s="35"/>
      <c r="E33" s="35"/>
      <c r="F33" s="35"/>
      <c r="G33" s="35"/>
      <c r="H33" s="35"/>
      <c r="I33" s="35"/>
      <c r="J33" s="34" t="str">
        <f aca="false">IF(H33="","",H33*IF(I33="",1,I33))</f>
        <v/>
      </c>
      <c r="K33" s="35"/>
      <c r="L33" s="35"/>
      <c r="M33" s="35"/>
      <c r="N33" s="35"/>
      <c r="O33" s="35"/>
      <c r="P33" s="36"/>
      <c r="Q33" s="36"/>
      <c r="R33" s="35"/>
      <c r="S33" s="35"/>
      <c r="T33" s="35"/>
      <c r="U33" s="35"/>
      <c r="V33" s="36"/>
      <c r="W33" s="36"/>
      <c r="X33" s="35"/>
      <c r="Y33" s="35"/>
      <c r="Z33" s="36"/>
      <c r="AA33" s="37"/>
      <c r="AB33" s="38" t="str">
        <f aca="false">IF(OR(AA33="",J33=""),"",AA33*J33)</f>
        <v/>
      </c>
      <c r="AC33" s="35"/>
      <c r="AD33" s="35"/>
      <c r="AE33" s="36"/>
      <c r="AF33" s="34" t="str">
        <f aca="true">IF(OR(D33="",R33="Cancelled"),"",IF(H33="","NO QTY",IF(AND(L33="Buy",E33=""),"NO PART NO",IF(AND(W33&lt;&gt;"",NOT(OR(R33="Received",R33="NSW Purchased")),W33&lt;TODAY()),"OVERDUE",IF(AND(W33&lt;&gt;"",Q33&lt;&gt;"",W33&gt;Q33),"LATE vs REQ",IF(AND(R33="Finalized – Not Purchased",T33=""),"NEED PR",IF(AND(Y33&lt;&gt;"",Y33&lt;J33),"SHORT","")))))))</f>
        <v/>
      </c>
      <c r="AG33" s="35"/>
    </row>
    <row r="34" customFormat="false" ht="15" hidden="false" customHeight="false" outlineLevel="0" collapsed="false">
      <c r="A34" s="34" t="str">
        <f aca="false">IF(B34="","",LEFT(B34,3)&amp;"-"&amp;TEXT(COUNTIF(B$11:B34,B34),"00"))</f>
        <v/>
      </c>
      <c r="B34" s="35"/>
      <c r="C34" s="35"/>
      <c r="D34" s="35"/>
      <c r="E34" s="35"/>
      <c r="F34" s="35"/>
      <c r="G34" s="35"/>
      <c r="H34" s="35"/>
      <c r="I34" s="35"/>
      <c r="J34" s="34" t="str">
        <f aca="false">IF(H34="","",H34*IF(I34="",1,I34))</f>
        <v/>
      </c>
      <c r="K34" s="35"/>
      <c r="L34" s="35"/>
      <c r="M34" s="35"/>
      <c r="N34" s="35"/>
      <c r="O34" s="35"/>
      <c r="P34" s="36"/>
      <c r="Q34" s="36"/>
      <c r="R34" s="35"/>
      <c r="S34" s="35"/>
      <c r="T34" s="35"/>
      <c r="U34" s="35"/>
      <c r="V34" s="36"/>
      <c r="W34" s="36"/>
      <c r="X34" s="35"/>
      <c r="Y34" s="35"/>
      <c r="Z34" s="36"/>
      <c r="AA34" s="37"/>
      <c r="AB34" s="38" t="str">
        <f aca="false">IF(OR(AA34="",J34=""),"",AA34*J34)</f>
        <v/>
      </c>
      <c r="AC34" s="35"/>
      <c r="AD34" s="35"/>
      <c r="AE34" s="36"/>
      <c r="AF34" s="34" t="str">
        <f aca="true">IF(OR(D34="",R34="Cancelled"),"",IF(H34="","NO QTY",IF(AND(L34="Buy",E34=""),"NO PART NO",IF(AND(W34&lt;&gt;"",NOT(OR(R34="Received",R34="NSW Purchased")),W34&lt;TODAY()),"OVERDUE",IF(AND(W34&lt;&gt;"",Q34&lt;&gt;"",W34&gt;Q34),"LATE vs REQ",IF(AND(R34="Finalized – Not Purchased",T34=""),"NEED PR",IF(AND(Y34&lt;&gt;"",Y34&lt;J34),"SHORT","")))))))</f>
        <v/>
      </c>
      <c r="AG34" s="35"/>
    </row>
    <row r="35" customFormat="false" ht="15" hidden="false" customHeight="false" outlineLevel="0" collapsed="false">
      <c r="A35" s="34" t="str">
        <f aca="false">IF(B35="","",LEFT(B35,3)&amp;"-"&amp;TEXT(COUNTIF(B$11:B35,B35),"00"))</f>
        <v/>
      </c>
      <c r="B35" s="35"/>
      <c r="C35" s="35"/>
      <c r="D35" s="35"/>
      <c r="E35" s="35"/>
      <c r="F35" s="35"/>
      <c r="G35" s="35"/>
      <c r="H35" s="35"/>
      <c r="I35" s="35"/>
      <c r="J35" s="34" t="str">
        <f aca="false">IF(H35="","",H35*IF(I35="",1,I35))</f>
        <v/>
      </c>
      <c r="K35" s="35"/>
      <c r="L35" s="35"/>
      <c r="M35" s="35"/>
      <c r="N35" s="35"/>
      <c r="O35" s="35"/>
      <c r="P35" s="36"/>
      <c r="Q35" s="36"/>
      <c r="R35" s="35"/>
      <c r="S35" s="35"/>
      <c r="T35" s="35"/>
      <c r="U35" s="35"/>
      <c r="V35" s="36"/>
      <c r="W35" s="36"/>
      <c r="X35" s="35"/>
      <c r="Y35" s="35"/>
      <c r="Z35" s="36"/>
      <c r="AA35" s="37"/>
      <c r="AB35" s="38" t="str">
        <f aca="false">IF(OR(AA35="",J35=""),"",AA35*J35)</f>
        <v/>
      </c>
      <c r="AC35" s="35"/>
      <c r="AD35" s="35"/>
      <c r="AE35" s="36"/>
      <c r="AF35" s="34" t="str">
        <f aca="true">IF(OR(D35="",R35="Cancelled"),"",IF(H35="","NO QTY",IF(AND(L35="Buy",E35=""),"NO PART NO",IF(AND(W35&lt;&gt;"",NOT(OR(R35="Received",R35="NSW Purchased")),W35&lt;TODAY()),"OVERDUE",IF(AND(W35&lt;&gt;"",Q35&lt;&gt;"",W35&gt;Q35),"LATE vs REQ",IF(AND(R35="Finalized – Not Purchased",T35=""),"NEED PR",IF(AND(Y35&lt;&gt;"",Y35&lt;J35),"SHORT","")))))))</f>
        <v/>
      </c>
      <c r="AG35" s="35"/>
    </row>
    <row r="36" customFormat="false" ht="15" hidden="false" customHeight="false" outlineLevel="0" collapsed="false">
      <c r="A36" s="34" t="str">
        <f aca="false">IF(B36="","",LEFT(B36,3)&amp;"-"&amp;TEXT(COUNTIF(B$11:B36,B36),"00"))</f>
        <v/>
      </c>
      <c r="B36" s="35"/>
      <c r="C36" s="35"/>
      <c r="D36" s="35"/>
      <c r="E36" s="35"/>
      <c r="F36" s="35"/>
      <c r="G36" s="35"/>
      <c r="H36" s="35"/>
      <c r="I36" s="35"/>
      <c r="J36" s="34" t="str">
        <f aca="false">IF(H36="","",H36*IF(I36="",1,I36))</f>
        <v/>
      </c>
      <c r="K36" s="35"/>
      <c r="L36" s="35"/>
      <c r="M36" s="35"/>
      <c r="N36" s="35"/>
      <c r="O36" s="35"/>
      <c r="P36" s="36"/>
      <c r="Q36" s="36"/>
      <c r="R36" s="35"/>
      <c r="S36" s="35"/>
      <c r="T36" s="35"/>
      <c r="U36" s="35"/>
      <c r="V36" s="36"/>
      <c r="W36" s="36"/>
      <c r="X36" s="35"/>
      <c r="Y36" s="35"/>
      <c r="Z36" s="36"/>
      <c r="AA36" s="37"/>
      <c r="AB36" s="38" t="str">
        <f aca="false">IF(OR(AA36="",J36=""),"",AA36*J36)</f>
        <v/>
      </c>
      <c r="AC36" s="35"/>
      <c r="AD36" s="35"/>
      <c r="AE36" s="36"/>
      <c r="AF36" s="34" t="str">
        <f aca="true">IF(OR(D36="",R36="Cancelled"),"",IF(H36="","NO QTY",IF(AND(L36="Buy",E36=""),"NO PART NO",IF(AND(W36&lt;&gt;"",NOT(OR(R36="Received",R36="NSW Purchased")),W36&lt;TODAY()),"OVERDUE",IF(AND(W36&lt;&gt;"",Q36&lt;&gt;"",W36&gt;Q36),"LATE vs REQ",IF(AND(R36="Finalized – Not Purchased",T36=""),"NEED PR",IF(AND(Y36&lt;&gt;"",Y36&lt;J36),"SHORT","")))))))</f>
        <v/>
      </c>
      <c r="AG36" s="35"/>
    </row>
    <row r="37" customFormat="false" ht="15" hidden="false" customHeight="false" outlineLevel="0" collapsed="false">
      <c r="A37" s="34" t="str">
        <f aca="false">IF(B37="","",LEFT(B37,3)&amp;"-"&amp;TEXT(COUNTIF(B$11:B37,B37),"00"))</f>
        <v/>
      </c>
      <c r="B37" s="35"/>
      <c r="C37" s="35"/>
      <c r="D37" s="35"/>
      <c r="E37" s="35"/>
      <c r="F37" s="35"/>
      <c r="G37" s="35"/>
      <c r="H37" s="35"/>
      <c r="I37" s="35"/>
      <c r="J37" s="34" t="str">
        <f aca="false">IF(H37="","",H37*IF(I37="",1,I37))</f>
        <v/>
      </c>
      <c r="K37" s="35"/>
      <c r="L37" s="35"/>
      <c r="M37" s="35"/>
      <c r="N37" s="35"/>
      <c r="O37" s="35"/>
      <c r="P37" s="36"/>
      <c r="Q37" s="36"/>
      <c r="R37" s="35"/>
      <c r="S37" s="35"/>
      <c r="T37" s="35"/>
      <c r="U37" s="35"/>
      <c r="V37" s="36"/>
      <c r="W37" s="36"/>
      <c r="X37" s="35"/>
      <c r="Y37" s="35"/>
      <c r="Z37" s="36"/>
      <c r="AA37" s="37"/>
      <c r="AB37" s="38" t="str">
        <f aca="false">IF(OR(AA37="",J37=""),"",AA37*J37)</f>
        <v/>
      </c>
      <c r="AC37" s="35"/>
      <c r="AD37" s="35"/>
      <c r="AE37" s="36"/>
      <c r="AF37" s="34" t="str">
        <f aca="true">IF(OR(D37="",R37="Cancelled"),"",IF(H37="","NO QTY",IF(AND(L37="Buy",E37=""),"NO PART NO",IF(AND(W37&lt;&gt;"",NOT(OR(R37="Received",R37="NSW Purchased")),W37&lt;TODAY()),"OVERDUE",IF(AND(W37&lt;&gt;"",Q37&lt;&gt;"",W37&gt;Q37),"LATE vs REQ",IF(AND(R37="Finalized – Not Purchased",T37=""),"NEED PR",IF(AND(Y37&lt;&gt;"",Y37&lt;J37),"SHORT","")))))))</f>
        <v/>
      </c>
      <c r="AG37" s="35"/>
    </row>
    <row r="38" customFormat="false" ht="15" hidden="false" customHeight="false" outlineLevel="0" collapsed="false">
      <c r="A38" s="34" t="str">
        <f aca="false">IF(B38="","",LEFT(B38,3)&amp;"-"&amp;TEXT(COUNTIF(B$11:B38,B38),"00"))</f>
        <v/>
      </c>
      <c r="B38" s="35"/>
      <c r="C38" s="35"/>
      <c r="D38" s="35"/>
      <c r="E38" s="35"/>
      <c r="F38" s="35"/>
      <c r="G38" s="35"/>
      <c r="H38" s="35"/>
      <c r="I38" s="35"/>
      <c r="J38" s="34" t="str">
        <f aca="false">IF(H38="","",H38*IF(I38="",1,I38))</f>
        <v/>
      </c>
      <c r="K38" s="35"/>
      <c r="L38" s="35"/>
      <c r="M38" s="35"/>
      <c r="N38" s="35"/>
      <c r="O38" s="35"/>
      <c r="P38" s="36"/>
      <c r="Q38" s="36"/>
      <c r="R38" s="35"/>
      <c r="S38" s="35"/>
      <c r="T38" s="35"/>
      <c r="U38" s="35"/>
      <c r="V38" s="36"/>
      <c r="W38" s="36"/>
      <c r="X38" s="35"/>
      <c r="Y38" s="35"/>
      <c r="Z38" s="36"/>
      <c r="AA38" s="37"/>
      <c r="AB38" s="38" t="str">
        <f aca="false">IF(OR(AA38="",J38=""),"",AA38*J38)</f>
        <v/>
      </c>
      <c r="AC38" s="35"/>
      <c r="AD38" s="35"/>
      <c r="AE38" s="36"/>
      <c r="AF38" s="34" t="str">
        <f aca="true">IF(OR(D38="",R38="Cancelled"),"",IF(H38="","NO QTY",IF(AND(L38="Buy",E38=""),"NO PART NO",IF(AND(W38&lt;&gt;"",NOT(OR(R38="Received",R38="NSW Purchased")),W38&lt;TODAY()),"OVERDUE",IF(AND(W38&lt;&gt;"",Q38&lt;&gt;"",W38&gt;Q38),"LATE vs REQ",IF(AND(R38="Finalized – Not Purchased",T38=""),"NEED PR",IF(AND(Y38&lt;&gt;"",Y38&lt;J38),"SHORT","")))))))</f>
        <v/>
      </c>
      <c r="AG38" s="35"/>
    </row>
    <row r="39" customFormat="false" ht="15" hidden="false" customHeight="false" outlineLevel="0" collapsed="false">
      <c r="A39" s="34" t="str">
        <f aca="false">IF(B39="","",LEFT(B39,3)&amp;"-"&amp;TEXT(COUNTIF(B$11:B39,B39),"00"))</f>
        <v/>
      </c>
      <c r="B39" s="35"/>
      <c r="C39" s="35"/>
      <c r="D39" s="35"/>
      <c r="E39" s="35"/>
      <c r="F39" s="35"/>
      <c r="G39" s="35"/>
      <c r="H39" s="35"/>
      <c r="I39" s="35"/>
      <c r="J39" s="34" t="str">
        <f aca="false">IF(H39="","",H39*IF(I39="",1,I39))</f>
        <v/>
      </c>
      <c r="K39" s="35"/>
      <c r="L39" s="35"/>
      <c r="M39" s="35"/>
      <c r="N39" s="35"/>
      <c r="O39" s="35"/>
      <c r="P39" s="36"/>
      <c r="Q39" s="36"/>
      <c r="R39" s="35"/>
      <c r="S39" s="35"/>
      <c r="T39" s="35"/>
      <c r="U39" s="35"/>
      <c r="V39" s="36"/>
      <c r="W39" s="36"/>
      <c r="X39" s="35"/>
      <c r="Y39" s="35"/>
      <c r="Z39" s="36"/>
      <c r="AA39" s="37"/>
      <c r="AB39" s="38" t="str">
        <f aca="false">IF(OR(AA39="",J39=""),"",AA39*J39)</f>
        <v/>
      </c>
      <c r="AC39" s="35"/>
      <c r="AD39" s="35"/>
      <c r="AE39" s="36"/>
      <c r="AF39" s="34" t="str">
        <f aca="true">IF(OR(D39="",R39="Cancelled"),"",IF(H39="","NO QTY",IF(AND(L39="Buy",E39=""),"NO PART NO",IF(AND(W39&lt;&gt;"",NOT(OR(R39="Received",R39="NSW Purchased")),W39&lt;TODAY()),"OVERDUE",IF(AND(W39&lt;&gt;"",Q39&lt;&gt;"",W39&gt;Q39),"LATE vs REQ",IF(AND(R39="Finalized – Not Purchased",T39=""),"NEED PR",IF(AND(Y39&lt;&gt;"",Y39&lt;J39),"SHORT","")))))))</f>
        <v/>
      </c>
      <c r="AG39" s="35"/>
    </row>
    <row r="40" customFormat="false" ht="15" hidden="false" customHeight="false" outlineLevel="0" collapsed="false">
      <c r="A40" s="34" t="str">
        <f aca="false">IF(B40="","",LEFT(B40,3)&amp;"-"&amp;TEXT(COUNTIF(B$11:B40,B40),"00"))</f>
        <v/>
      </c>
      <c r="B40" s="35"/>
      <c r="C40" s="35"/>
      <c r="D40" s="35"/>
      <c r="E40" s="35"/>
      <c r="F40" s="35"/>
      <c r="G40" s="35"/>
      <c r="H40" s="35"/>
      <c r="I40" s="35"/>
      <c r="J40" s="34" t="str">
        <f aca="false">IF(H40="","",H40*IF(I40="",1,I40))</f>
        <v/>
      </c>
      <c r="K40" s="35"/>
      <c r="L40" s="35"/>
      <c r="M40" s="35"/>
      <c r="N40" s="35"/>
      <c r="O40" s="35"/>
      <c r="P40" s="36"/>
      <c r="Q40" s="36"/>
      <c r="R40" s="35"/>
      <c r="S40" s="35"/>
      <c r="T40" s="35"/>
      <c r="U40" s="35"/>
      <c r="V40" s="36"/>
      <c r="W40" s="36"/>
      <c r="X40" s="35"/>
      <c r="Y40" s="35"/>
      <c r="Z40" s="36"/>
      <c r="AA40" s="37"/>
      <c r="AB40" s="38" t="str">
        <f aca="false">IF(OR(AA40="",J40=""),"",AA40*J40)</f>
        <v/>
      </c>
      <c r="AC40" s="35"/>
      <c r="AD40" s="35"/>
      <c r="AE40" s="36"/>
      <c r="AF40" s="34" t="str">
        <f aca="true">IF(OR(D40="",R40="Cancelled"),"",IF(H40="","NO QTY",IF(AND(L40="Buy",E40=""),"NO PART NO",IF(AND(W40&lt;&gt;"",NOT(OR(R40="Received",R40="NSW Purchased")),W40&lt;TODAY()),"OVERDUE",IF(AND(W40&lt;&gt;"",Q40&lt;&gt;"",W40&gt;Q40),"LATE vs REQ",IF(AND(R40="Finalized – Not Purchased",T40=""),"NEED PR",IF(AND(Y40&lt;&gt;"",Y40&lt;J40),"SHORT","")))))))</f>
        <v/>
      </c>
      <c r="AG40" s="35"/>
    </row>
    <row r="41" customFormat="false" ht="15" hidden="false" customHeight="false" outlineLevel="0" collapsed="false">
      <c r="A41" s="34" t="str">
        <f aca="false">IF(B41="","",LEFT(B41,3)&amp;"-"&amp;TEXT(COUNTIF(B$11:B41,B41),"00"))</f>
        <v/>
      </c>
      <c r="B41" s="35"/>
      <c r="C41" s="35"/>
      <c r="D41" s="35"/>
      <c r="E41" s="35"/>
      <c r="F41" s="35"/>
      <c r="G41" s="35"/>
      <c r="H41" s="35"/>
      <c r="I41" s="35"/>
      <c r="J41" s="34" t="str">
        <f aca="false">IF(H41="","",H41*IF(I41="",1,I41))</f>
        <v/>
      </c>
      <c r="K41" s="35"/>
      <c r="L41" s="35"/>
      <c r="M41" s="35"/>
      <c r="N41" s="35"/>
      <c r="O41" s="35"/>
      <c r="P41" s="36"/>
      <c r="Q41" s="36"/>
      <c r="R41" s="35"/>
      <c r="S41" s="35"/>
      <c r="T41" s="35"/>
      <c r="U41" s="35"/>
      <c r="V41" s="36"/>
      <c r="W41" s="36"/>
      <c r="X41" s="35"/>
      <c r="Y41" s="35"/>
      <c r="Z41" s="36"/>
      <c r="AA41" s="37"/>
      <c r="AB41" s="38" t="str">
        <f aca="false">IF(OR(AA41="",J41=""),"",AA41*J41)</f>
        <v/>
      </c>
      <c r="AC41" s="35"/>
      <c r="AD41" s="35"/>
      <c r="AE41" s="36"/>
      <c r="AF41" s="34" t="str">
        <f aca="true">IF(OR(D41="",R41="Cancelled"),"",IF(H41="","NO QTY",IF(AND(L41="Buy",E41=""),"NO PART NO",IF(AND(W41&lt;&gt;"",NOT(OR(R41="Received",R41="NSW Purchased")),W41&lt;TODAY()),"OVERDUE",IF(AND(W41&lt;&gt;"",Q41&lt;&gt;"",W41&gt;Q41),"LATE vs REQ",IF(AND(R41="Finalized – Not Purchased",T41=""),"NEED PR",IF(AND(Y41&lt;&gt;"",Y41&lt;J41),"SHORT","")))))))</f>
        <v/>
      </c>
      <c r="AG41" s="35"/>
    </row>
    <row r="42" customFormat="false" ht="15" hidden="false" customHeight="false" outlineLevel="0" collapsed="false">
      <c r="A42" s="34" t="str">
        <f aca="false">IF(B42="","",LEFT(B42,3)&amp;"-"&amp;TEXT(COUNTIF(B$11:B42,B42),"00"))</f>
        <v/>
      </c>
      <c r="B42" s="35"/>
      <c r="C42" s="35"/>
      <c r="D42" s="35"/>
      <c r="E42" s="35"/>
      <c r="F42" s="35"/>
      <c r="G42" s="35"/>
      <c r="H42" s="35"/>
      <c r="I42" s="35"/>
      <c r="J42" s="34" t="str">
        <f aca="false">IF(H42="","",H42*IF(I42="",1,I42))</f>
        <v/>
      </c>
      <c r="K42" s="35"/>
      <c r="L42" s="35"/>
      <c r="M42" s="35"/>
      <c r="N42" s="35"/>
      <c r="O42" s="35"/>
      <c r="P42" s="36"/>
      <c r="Q42" s="36"/>
      <c r="R42" s="35"/>
      <c r="S42" s="35"/>
      <c r="T42" s="35"/>
      <c r="U42" s="35"/>
      <c r="V42" s="36"/>
      <c r="W42" s="36"/>
      <c r="X42" s="35"/>
      <c r="Y42" s="35"/>
      <c r="Z42" s="36"/>
      <c r="AA42" s="37"/>
      <c r="AB42" s="38" t="str">
        <f aca="false">IF(OR(AA42="",J42=""),"",AA42*J42)</f>
        <v/>
      </c>
      <c r="AC42" s="35"/>
      <c r="AD42" s="35"/>
      <c r="AE42" s="36"/>
      <c r="AF42" s="34" t="str">
        <f aca="true">IF(OR(D42="",R42="Cancelled"),"",IF(H42="","NO QTY",IF(AND(L42="Buy",E42=""),"NO PART NO",IF(AND(W42&lt;&gt;"",NOT(OR(R42="Received",R42="NSW Purchased")),W42&lt;TODAY()),"OVERDUE",IF(AND(W42&lt;&gt;"",Q42&lt;&gt;"",W42&gt;Q42),"LATE vs REQ",IF(AND(R42="Finalized – Not Purchased",T42=""),"NEED PR",IF(AND(Y42&lt;&gt;"",Y42&lt;J42),"SHORT","")))))))</f>
        <v/>
      </c>
      <c r="AG42" s="35"/>
    </row>
    <row r="43" customFormat="false" ht="15" hidden="false" customHeight="false" outlineLevel="0" collapsed="false">
      <c r="A43" s="34" t="str">
        <f aca="false">IF(B43="","",LEFT(B43,3)&amp;"-"&amp;TEXT(COUNTIF(B$11:B43,B43),"00"))</f>
        <v/>
      </c>
      <c r="B43" s="35"/>
      <c r="C43" s="35"/>
      <c r="D43" s="35"/>
      <c r="E43" s="35"/>
      <c r="F43" s="35"/>
      <c r="G43" s="35"/>
      <c r="H43" s="35"/>
      <c r="I43" s="35"/>
      <c r="J43" s="34" t="str">
        <f aca="false">IF(H43="","",H43*IF(I43="",1,I43))</f>
        <v/>
      </c>
      <c r="K43" s="35"/>
      <c r="L43" s="35"/>
      <c r="M43" s="35"/>
      <c r="N43" s="35"/>
      <c r="O43" s="35"/>
      <c r="P43" s="36"/>
      <c r="Q43" s="36"/>
      <c r="R43" s="35"/>
      <c r="S43" s="35"/>
      <c r="T43" s="35"/>
      <c r="U43" s="35"/>
      <c r="V43" s="36"/>
      <c r="W43" s="36"/>
      <c r="X43" s="35"/>
      <c r="Y43" s="35"/>
      <c r="Z43" s="36"/>
      <c r="AA43" s="37"/>
      <c r="AB43" s="38" t="str">
        <f aca="false">IF(OR(AA43="",J43=""),"",AA43*J43)</f>
        <v/>
      </c>
      <c r="AC43" s="35"/>
      <c r="AD43" s="35"/>
      <c r="AE43" s="36"/>
      <c r="AF43" s="34" t="str">
        <f aca="true">IF(OR(D43="",R43="Cancelled"),"",IF(H43="","NO QTY",IF(AND(L43="Buy",E43=""),"NO PART NO",IF(AND(W43&lt;&gt;"",NOT(OR(R43="Received",R43="NSW Purchased")),W43&lt;TODAY()),"OVERDUE",IF(AND(W43&lt;&gt;"",Q43&lt;&gt;"",W43&gt;Q43),"LATE vs REQ",IF(AND(R43="Finalized – Not Purchased",T43=""),"NEED PR",IF(AND(Y43&lt;&gt;"",Y43&lt;J43),"SHORT","")))))))</f>
        <v/>
      </c>
      <c r="AG43" s="35"/>
    </row>
    <row r="44" customFormat="false" ht="15" hidden="false" customHeight="false" outlineLevel="0" collapsed="false">
      <c r="A44" s="34" t="str">
        <f aca="false">IF(B44="","",LEFT(B44,3)&amp;"-"&amp;TEXT(COUNTIF(B$11:B44,B44),"00"))</f>
        <v/>
      </c>
      <c r="B44" s="35"/>
      <c r="C44" s="35"/>
      <c r="D44" s="35"/>
      <c r="E44" s="35"/>
      <c r="F44" s="35"/>
      <c r="G44" s="35"/>
      <c r="H44" s="35"/>
      <c r="I44" s="35"/>
      <c r="J44" s="34" t="str">
        <f aca="false">IF(H44="","",H44*IF(I44="",1,I44))</f>
        <v/>
      </c>
      <c r="K44" s="35"/>
      <c r="L44" s="35"/>
      <c r="M44" s="35"/>
      <c r="N44" s="35"/>
      <c r="O44" s="35"/>
      <c r="P44" s="36"/>
      <c r="Q44" s="36"/>
      <c r="R44" s="35"/>
      <c r="S44" s="35"/>
      <c r="T44" s="35"/>
      <c r="U44" s="35"/>
      <c r="V44" s="36"/>
      <c r="W44" s="36"/>
      <c r="X44" s="35"/>
      <c r="Y44" s="35"/>
      <c r="Z44" s="36"/>
      <c r="AA44" s="37"/>
      <c r="AB44" s="38" t="str">
        <f aca="false">IF(OR(AA44="",J44=""),"",AA44*J44)</f>
        <v/>
      </c>
      <c r="AC44" s="35"/>
      <c r="AD44" s="35"/>
      <c r="AE44" s="36"/>
      <c r="AF44" s="34" t="str">
        <f aca="true">IF(OR(D44="",R44="Cancelled"),"",IF(H44="","NO QTY",IF(AND(L44="Buy",E44=""),"NO PART NO",IF(AND(W44&lt;&gt;"",NOT(OR(R44="Received",R44="NSW Purchased")),W44&lt;TODAY()),"OVERDUE",IF(AND(W44&lt;&gt;"",Q44&lt;&gt;"",W44&gt;Q44),"LATE vs REQ",IF(AND(R44="Finalized – Not Purchased",T44=""),"NEED PR",IF(AND(Y44&lt;&gt;"",Y44&lt;J44),"SHORT","")))))))</f>
        <v/>
      </c>
      <c r="AG44" s="35"/>
    </row>
    <row r="45" customFormat="false" ht="15" hidden="false" customHeight="false" outlineLevel="0" collapsed="false">
      <c r="A45" s="34" t="str">
        <f aca="false">IF(B45="","",LEFT(B45,3)&amp;"-"&amp;TEXT(COUNTIF(B$11:B45,B45),"00"))</f>
        <v/>
      </c>
      <c r="B45" s="35"/>
      <c r="C45" s="35"/>
      <c r="D45" s="35"/>
      <c r="E45" s="35"/>
      <c r="F45" s="35"/>
      <c r="G45" s="35"/>
      <c r="H45" s="35"/>
      <c r="I45" s="35"/>
      <c r="J45" s="34" t="str">
        <f aca="false">IF(H45="","",H45*IF(I45="",1,I45))</f>
        <v/>
      </c>
      <c r="K45" s="35"/>
      <c r="L45" s="35"/>
      <c r="M45" s="35"/>
      <c r="N45" s="35"/>
      <c r="O45" s="35"/>
      <c r="P45" s="36"/>
      <c r="Q45" s="36"/>
      <c r="R45" s="35"/>
      <c r="S45" s="35"/>
      <c r="T45" s="35"/>
      <c r="U45" s="35"/>
      <c r="V45" s="36"/>
      <c r="W45" s="36"/>
      <c r="X45" s="35"/>
      <c r="Y45" s="35"/>
      <c r="Z45" s="36"/>
      <c r="AA45" s="37"/>
      <c r="AB45" s="38" t="str">
        <f aca="false">IF(OR(AA45="",J45=""),"",AA45*J45)</f>
        <v/>
      </c>
      <c r="AC45" s="35"/>
      <c r="AD45" s="35"/>
      <c r="AE45" s="36"/>
      <c r="AF45" s="34" t="str">
        <f aca="true">IF(OR(D45="",R45="Cancelled"),"",IF(H45="","NO QTY",IF(AND(L45="Buy",E45=""),"NO PART NO",IF(AND(W45&lt;&gt;"",NOT(OR(R45="Received",R45="NSW Purchased")),W45&lt;TODAY()),"OVERDUE",IF(AND(W45&lt;&gt;"",Q45&lt;&gt;"",W45&gt;Q45),"LATE vs REQ",IF(AND(R45="Finalized – Not Purchased",T45=""),"NEED PR",IF(AND(Y45&lt;&gt;"",Y45&lt;J45),"SHORT","")))))))</f>
        <v/>
      </c>
      <c r="AG45" s="35"/>
    </row>
    <row r="46" customFormat="false" ht="15" hidden="false" customHeight="false" outlineLevel="0" collapsed="false">
      <c r="A46" s="34" t="str">
        <f aca="false">IF(B46="","",LEFT(B46,3)&amp;"-"&amp;TEXT(COUNTIF(B$11:B46,B46),"00"))</f>
        <v/>
      </c>
      <c r="B46" s="35"/>
      <c r="C46" s="35"/>
      <c r="D46" s="35"/>
      <c r="E46" s="35"/>
      <c r="F46" s="35"/>
      <c r="G46" s="35"/>
      <c r="H46" s="35"/>
      <c r="I46" s="35"/>
      <c r="J46" s="34" t="str">
        <f aca="false">IF(H46="","",H46*IF(I46="",1,I46))</f>
        <v/>
      </c>
      <c r="K46" s="35"/>
      <c r="L46" s="35"/>
      <c r="M46" s="35"/>
      <c r="N46" s="35"/>
      <c r="O46" s="35"/>
      <c r="P46" s="36"/>
      <c r="Q46" s="36"/>
      <c r="R46" s="35"/>
      <c r="S46" s="35"/>
      <c r="T46" s="35"/>
      <c r="U46" s="35"/>
      <c r="V46" s="36"/>
      <c r="W46" s="36"/>
      <c r="X46" s="35"/>
      <c r="Y46" s="35"/>
      <c r="Z46" s="36"/>
      <c r="AA46" s="37"/>
      <c r="AB46" s="38" t="str">
        <f aca="false">IF(OR(AA46="",J46=""),"",AA46*J46)</f>
        <v/>
      </c>
      <c r="AC46" s="35"/>
      <c r="AD46" s="35"/>
      <c r="AE46" s="36"/>
      <c r="AF46" s="34" t="str">
        <f aca="true">IF(OR(D46="",R46="Cancelled"),"",IF(H46="","NO QTY",IF(AND(L46="Buy",E46=""),"NO PART NO",IF(AND(W46&lt;&gt;"",NOT(OR(R46="Received",R46="NSW Purchased")),W46&lt;TODAY()),"OVERDUE",IF(AND(W46&lt;&gt;"",Q46&lt;&gt;"",W46&gt;Q46),"LATE vs REQ",IF(AND(R46="Finalized – Not Purchased",T46=""),"NEED PR",IF(AND(Y46&lt;&gt;"",Y46&lt;J46),"SHORT","")))))))</f>
        <v/>
      </c>
      <c r="AG46" s="35"/>
    </row>
    <row r="47" customFormat="false" ht="15" hidden="false" customHeight="false" outlineLevel="0" collapsed="false">
      <c r="A47" s="34" t="str">
        <f aca="false">IF(B47="","",LEFT(B47,3)&amp;"-"&amp;TEXT(COUNTIF(B$11:B47,B47),"00"))</f>
        <v/>
      </c>
      <c r="B47" s="35"/>
      <c r="C47" s="35"/>
      <c r="D47" s="35"/>
      <c r="E47" s="35"/>
      <c r="F47" s="35"/>
      <c r="G47" s="35"/>
      <c r="H47" s="35"/>
      <c r="I47" s="35"/>
      <c r="J47" s="34" t="str">
        <f aca="false">IF(H47="","",H47*IF(I47="",1,I47))</f>
        <v/>
      </c>
      <c r="K47" s="35"/>
      <c r="L47" s="35"/>
      <c r="M47" s="35"/>
      <c r="N47" s="35"/>
      <c r="O47" s="35"/>
      <c r="P47" s="36"/>
      <c r="Q47" s="36"/>
      <c r="R47" s="35"/>
      <c r="S47" s="35"/>
      <c r="T47" s="35"/>
      <c r="U47" s="35"/>
      <c r="V47" s="36"/>
      <c r="W47" s="36"/>
      <c r="X47" s="35"/>
      <c r="Y47" s="35"/>
      <c r="Z47" s="36"/>
      <c r="AA47" s="37"/>
      <c r="AB47" s="38" t="str">
        <f aca="false">IF(OR(AA47="",J47=""),"",AA47*J47)</f>
        <v/>
      </c>
      <c r="AC47" s="35"/>
      <c r="AD47" s="35"/>
      <c r="AE47" s="36"/>
      <c r="AF47" s="34" t="str">
        <f aca="true">IF(OR(D47="",R47="Cancelled"),"",IF(H47="","NO QTY",IF(AND(L47="Buy",E47=""),"NO PART NO",IF(AND(W47&lt;&gt;"",NOT(OR(R47="Received",R47="NSW Purchased")),W47&lt;TODAY()),"OVERDUE",IF(AND(W47&lt;&gt;"",Q47&lt;&gt;"",W47&gt;Q47),"LATE vs REQ",IF(AND(R47="Finalized – Not Purchased",T47=""),"NEED PR",IF(AND(Y47&lt;&gt;"",Y47&lt;J47),"SHORT","")))))))</f>
        <v/>
      </c>
      <c r="AG47" s="35"/>
    </row>
    <row r="48" customFormat="false" ht="15" hidden="false" customHeight="false" outlineLevel="0" collapsed="false">
      <c r="A48" s="34" t="str">
        <f aca="false">IF(B48="","",LEFT(B48,3)&amp;"-"&amp;TEXT(COUNTIF(B$11:B48,B48),"00"))</f>
        <v/>
      </c>
      <c r="B48" s="35"/>
      <c r="C48" s="35"/>
      <c r="D48" s="35"/>
      <c r="E48" s="35"/>
      <c r="F48" s="35"/>
      <c r="G48" s="35"/>
      <c r="H48" s="35"/>
      <c r="I48" s="35"/>
      <c r="J48" s="34" t="str">
        <f aca="false">IF(H48="","",H48*IF(I48="",1,I48))</f>
        <v/>
      </c>
      <c r="K48" s="35"/>
      <c r="L48" s="35"/>
      <c r="M48" s="35"/>
      <c r="N48" s="35"/>
      <c r="O48" s="35"/>
      <c r="P48" s="36"/>
      <c r="Q48" s="36"/>
      <c r="R48" s="35"/>
      <c r="S48" s="35"/>
      <c r="T48" s="35"/>
      <c r="U48" s="35"/>
      <c r="V48" s="36"/>
      <c r="W48" s="36"/>
      <c r="X48" s="35"/>
      <c r="Y48" s="35"/>
      <c r="Z48" s="36"/>
      <c r="AA48" s="37"/>
      <c r="AB48" s="38" t="str">
        <f aca="false">IF(OR(AA48="",J48=""),"",AA48*J48)</f>
        <v/>
      </c>
      <c r="AC48" s="35"/>
      <c r="AD48" s="35"/>
      <c r="AE48" s="36"/>
      <c r="AF48" s="34" t="str">
        <f aca="true">IF(OR(D48="",R48="Cancelled"),"",IF(H48="","NO QTY",IF(AND(L48="Buy",E48=""),"NO PART NO",IF(AND(W48&lt;&gt;"",NOT(OR(R48="Received",R48="NSW Purchased")),W48&lt;TODAY()),"OVERDUE",IF(AND(W48&lt;&gt;"",Q48&lt;&gt;"",W48&gt;Q48),"LATE vs REQ",IF(AND(R48="Finalized – Not Purchased",T48=""),"NEED PR",IF(AND(Y48&lt;&gt;"",Y48&lt;J48),"SHORT","")))))))</f>
        <v/>
      </c>
      <c r="AG48" s="35"/>
    </row>
    <row r="49" customFormat="false" ht="15" hidden="false" customHeight="false" outlineLevel="0" collapsed="false">
      <c r="A49" s="34" t="str">
        <f aca="false">IF(B49="","",LEFT(B49,3)&amp;"-"&amp;TEXT(COUNTIF(B$11:B49,B49),"00"))</f>
        <v/>
      </c>
      <c r="B49" s="35"/>
      <c r="C49" s="35"/>
      <c r="D49" s="35"/>
      <c r="E49" s="35"/>
      <c r="F49" s="35"/>
      <c r="G49" s="35"/>
      <c r="H49" s="35"/>
      <c r="I49" s="35"/>
      <c r="J49" s="34" t="str">
        <f aca="false">IF(H49="","",H49*IF(I49="",1,I49))</f>
        <v/>
      </c>
      <c r="K49" s="35"/>
      <c r="L49" s="35"/>
      <c r="M49" s="35"/>
      <c r="N49" s="35"/>
      <c r="O49" s="35"/>
      <c r="P49" s="36"/>
      <c r="Q49" s="36"/>
      <c r="R49" s="35"/>
      <c r="S49" s="35"/>
      <c r="T49" s="35"/>
      <c r="U49" s="35"/>
      <c r="V49" s="36"/>
      <c r="W49" s="36"/>
      <c r="X49" s="35"/>
      <c r="Y49" s="35"/>
      <c r="Z49" s="36"/>
      <c r="AA49" s="37"/>
      <c r="AB49" s="38" t="str">
        <f aca="false">IF(OR(AA49="",J49=""),"",AA49*J49)</f>
        <v/>
      </c>
      <c r="AC49" s="35"/>
      <c r="AD49" s="35"/>
      <c r="AE49" s="36"/>
      <c r="AF49" s="34" t="str">
        <f aca="true">IF(OR(D49="",R49="Cancelled"),"",IF(H49="","NO QTY",IF(AND(L49="Buy",E49=""),"NO PART NO",IF(AND(W49&lt;&gt;"",NOT(OR(R49="Received",R49="NSW Purchased")),W49&lt;TODAY()),"OVERDUE",IF(AND(W49&lt;&gt;"",Q49&lt;&gt;"",W49&gt;Q49),"LATE vs REQ",IF(AND(R49="Finalized – Not Purchased",T49=""),"NEED PR",IF(AND(Y49&lt;&gt;"",Y49&lt;J49),"SHORT","")))))))</f>
        <v/>
      </c>
      <c r="AG49" s="35"/>
    </row>
    <row r="50" customFormat="false" ht="15" hidden="false" customHeight="false" outlineLevel="0" collapsed="false">
      <c r="A50" s="34" t="str">
        <f aca="false">IF(B50="","",LEFT(B50,3)&amp;"-"&amp;TEXT(COUNTIF(B$11:B50,B50),"00"))</f>
        <v/>
      </c>
      <c r="B50" s="35"/>
      <c r="C50" s="35"/>
      <c r="D50" s="35"/>
      <c r="E50" s="35"/>
      <c r="F50" s="35"/>
      <c r="G50" s="35"/>
      <c r="H50" s="35"/>
      <c r="I50" s="35"/>
      <c r="J50" s="34" t="str">
        <f aca="false">IF(H50="","",H50*IF(I50="",1,I50))</f>
        <v/>
      </c>
      <c r="K50" s="35"/>
      <c r="L50" s="35"/>
      <c r="M50" s="35"/>
      <c r="N50" s="35"/>
      <c r="O50" s="35"/>
      <c r="P50" s="36"/>
      <c r="Q50" s="36"/>
      <c r="R50" s="35"/>
      <c r="S50" s="35"/>
      <c r="T50" s="35"/>
      <c r="U50" s="35"/>
      <c r="V50" s="36"/>
      <c r="W50" s="36"/>
      <c r="X50" s="35"/>
      <c r="Y50" s="35"/>
      <c r="Z50" s="36"/>
      <c r="AA50" s="37"/>
      <c r="AB50" s="38" t="str">
        <f aca="false">IF(OR(AA50="",J50=""),"",AA50*J50)</f>
        <v/>
      </c>
      <c r="AC50" s="35"/>
      <c r="AD50" s="35"/>
      <c r="AE50" s="36"/>
      <c r="AF50" s="34" t="str">
        <f aca="true">IF(OR(D50="",R50="Cancelled"),"",IF(H50="","NO QTY",IF(AND(L50="Buy",E50=""),"NO PART NO",IF(AND(W50&lt;&gt;"",NOT(OR(R50="Received",R50="NSW Purchased")),W50&lt;TODAY()),"OVERDUE",IF(AND(W50&lt;&gt;"",Q50&lt;&gt;"",W50&gt;Q50),"LATE vs REQ",IF(AND(R50="Finalized – Not Purchased",T50=""),"NEED PR",IF(AND(Y50&lt;&gt;"",Y50&lt;J50),"SHORT","")))))))</f>
        <v/>
      </c>
      <c r="AG50" s="35"/>
    </row>
    <row r="51" customFormat="false" ht="15" hidden="false" customHeight="false" outlineLevel="0" collapsed="false">
      <c r="A51" s="34" t="str">
        <f aca="false">IF(B51="","",LEFT(B51,3)&amp;"-"&amp;TEXT(COUNTIF(B$11:B51,B51),"00"))</f>
        <v/>
      </c>
      <c r="B51" s="35"/>
      <c r="C51" s="35"/>
      <c r="D51" s="35"/>
      <c r="E51" s="35"/>
      <c r="F51" s="35"/>
      <c r="G51" s="35"/>
      <c r="H51" s="35"/>
      <c r="I51" s="35"/>
      <c r="J51" s="34" t="str">
        <f aca="false">IF(H51="","",H51*IF(I51="",1,I51))</f>
        <v/>
      </c>
      <c r="K51" s="35"/>
      <c r="L51" s="35"/>
      <c r="M51" s="35"/>
      <c r="N51" s="35"/>
      <c r="O51" s="35"/>
      <c r="P51" s="36"/>
      <c r="Q51" s="36"/>
      <c r="R51" s="35"/>
      <c r="S51" s="35"/>
      <c r="T51" s="35"/>
      <c r="U51" s="35"/>
      <c r="V51" s="36"/>
      <c r="W51" s="36"/>
      <c r="X51" s="35"/>
      <c r="Y51" s="35"/>
      <c r="Z51" s="36"/>
      <c r="AA51" s="37"/>
      <c r="AB51" s="38" t="str">
        <f aca="false">IF(OR(AA51="",J51=""),"",AA51*J51)</f>
        <v/>
      </c>
      <c r="AC51" s="35"/>
      <c r="AD51" s="35"/>
      <c r="AE51" s="36"/>
      <c r="AF51" s="34" t="str">
        <f aca="true">IF(OR(D51="",R51="Cancelled"),"",IF(H51="","NO QTY",IF(AND(L51="Buy",E51=""),"NO PART NO",IF(AND(W51&lt;&gt;"",NOT(OR(R51="Received",R51="NSW Purchased")),W51&lt;TODAY()),"OVERDUE",IF(AND(W51&lt;&gt;"",Q51&lt;&gt;"",W51&gt;Q51),"LATE vs REQ",IF(AND(R51="Finalized – Not Purchased",T51=""),"NEED PR",IF(AND(Y51&lt;&gt;"",Y51&lt;J51),"SHORT","")))))))</f>
        <v/>
      </c>
      <c r="AG51" s="35"/>
    </row>
    <row r="52" customFormat="false" ht="15" hidden="false" customHeight="false" outlineLevel="0" collapsed="false">
      <c r="A52" s="34" t="str">
        <f aca="false">IF(B52="","",LEFT(B52,3)&amp;"-"&amp;TEXT(COUNTIF(B$11:B52,B52),"00"))</f>
        <v/>
      </c>
      <c r="B52" s="35"/>
      <c r="C52" s="35"/>
      <c r="D52" s="35"/>
      <c r="E52" s="35"/>
      <c r="F52" s="35"/>
      <c r="G52" s="35"/>
      <c r="H52" s="35"/>
      <c r="I52" s="35"/>
      <c r="J52" s="34" t="str">
        <f aca="false">IF(H52="","",H52*IF(I52="",1,I52))</f>
        <v/>
      </c>
      <c r="K52" s="35"/>
      <c r="L52" s="35"/>
      <c r="M52" s="35"/>
      <c r="N52" s="35"/>
      <c r="O52" s="35"/>
      <c r="P52" s="36"/>
      <c r="Q52" s="36"/>
      <c r="R52" s="35"/>
      <c r="S52" s="35"/>
      <c r="T52" s="35"/>
      <c r="U52" s="35"/>
      <c r="V52" s="36"/>
      <c r="W52" s="36"/>
      <c r="X52" s="35"/>
      <c r="Y52" s="35"/>
      <c r="Z52" s="36"/>
      <c r="AA52" s="37"/>
      <c r="AB52" s="38" t="str">
        <f aca="false">IF(OR(AA52="",J52=""),"",AA52*J52)</f>
        <v/>
      </c>
      <c r="AC52" s="35"/>
      <c r="AD52" s="35"/>
      <c r="AE52" s="36"/>
      <c r="AF52" s="34" t="str">
        <f aca="true">IF(OR(D52="",R52="Cancelled"),"",IF(H52="","NO QTY",IF(AND(L52="Buy",E52=""),"NO PART NO",IF(AND(W52&lt;&gt;"",NOT(OR(R52="Received",R52="NSW Purchased")),W52&lt;TODAY()),"OVERDUE",IF(AND(W52&lt;&gt;"",Q52&lt;&gt;"",W52&gt;Q52),"LATE vs REQ",IF(AND(R52="Finalized – Not Purchased",T52=""),"NEED PR",IF(AND(Y52&lt;&gt;"",Y52&lt;J52),"SHORT","")))))))</f>
        <v/>
      </c>
      <c r="AG52" s="35"/>
    </row>
    <row r="53" customFormat="false" ht="15" hidden="false" customHeight="false" outlineLevel="0" collapsed="false">
      <c r="A53" s="34" t="str">
        <f aca="false">IF(B53="","",LEFT(B53,3)&amp;"-"&amp;TEXT(COUNTIF(B$11:B53,B53),"00"))</f>
        <v/>
      </c>
      <c r="B53" s="35"/>
      <c r="C53" s="35"/>
      <c r="D53" s="35"/>
      <c r="E53" s="35"/>
      <c r="F53" s="35"/>
      <c r="G53" s="35"/>
      <c r="H53" s="35"/>
      <c r="I53" s="35"/>
      <c r="J53" s="34" t="str">
        <f aca="false">IF(H53="","",H53*IF(I53="",1,I53))</f>
        <v/>
      </c>
      <c r="K53" s="35"/>
      <c r="L53" s="35"/>
      <c r="M53" s="35"/>
      <c r="N53" s="35"/>
      <c r="O53" s="35"/>
      <c r="P53" s="36"/>
      <c r="Q53" s="36"/>
      <c r="R53" s="35"/>
      <c r="S53" s="35"/>
      <c r="T53" s="35"/>
      <c r="U53" s="35"/>
      <c r="V53" s="36"/>
      <c r="W53" s="36"/>
      <c r="X53" s="35"/>
      <c r="Y53" s="35"/>
      <c r="Z53" s="36"/>
      <c r="AA53" s="37"/>
      <c r="AB53" s="38" t="str">
        <f aca="false">IF(OR(AA53="",J53=""),"",AA53*J53)</f>
        <v/>
      </c>
      <c r="AC53" s="35"/>
      <c r="AD53" s="35"/>
      <c r="AE53" s="36"/>
      <c r="AF53" s="34" t="str">
        <f aca="true">IF(OR(D53="",R53="Cancelled"),"",IF(H53="","NO QTY",IF(AND(L53="Buy",E53=""),"NO PART NO",IF(AND(W53&lt;&gt;"",NOT(OR(R53="Received",R53="NSW Purchased")),W53&lt;TODAY()),"OVERDUE",IF(AND(W53&lt;&gt;"",Q53&lt;&gt;"",W53&gt;Q53),"LATE vs REQ",IF(AND(R53="Finalized – Not Purchased",T53=""),"NEED PR",IF(AND(Y53&lt;&gt;"",Y53&lt;J53),"SHORT","")))))))</f>
        <v/>
      </c>
      <c r="AG53" s="35"/>
    </row>
    <row r="54" customFormat="false" ht="15" hidden="false" customHeight="false" outlineLevel="0" collapsed="false">
      <c r="A54" s="34" t="str">
        <f aca="false">IF(B54="","",LEFT(B54,3)&amp;"-"&amp;TEXT(COUNTIF(B$11:B54,B54),"00"))</f>
        <v/>
      </c>
      <c r="B54" s="35"/>
      <c r="C54" s="35"/>
      <c r="D54" s="35"/>
      <c r="E54" s="35"/>
      <c r="F54" s="35"/>
      <c r="G54" s="35"/>
      <c r="H54" s="35"/>
      <c r="I54" s="35"/>
      <c r="J54" s="34" t="str">
        <f aca="false">IF(H54="","",H54*IF(I54="",1,I54))</f>
        <v/>
      </c>
      <c r="K54" s="35"/>
      <c r="L54" s="35"/>
      <c r="M54" s="35"/>
      <c r="N54" s="35"/>
      <c r="O54" s="35"/>
      <c r="P54" s="36"/>
      <c r="Q54" s="36"/>
      <c r="R54" s="35"/>
      <c r="S54" s="35"/>
      <c r="T54" s="35"/>
      <c r="U54" s="35"/>
      <c r="V54" s="36"/>
      <c r="W54" s="36"/>
      <c r="X54" s="35"/>
      <c r="Y54" s="35"/>
      <c r="Z54" s="36"/>
      <c r="AA54" s="37"/>
      <c r="AB54" s="38" t="str">
        <f aca="false">IF(OR(AA54="",J54=""),"",AA54*J54)</f>
        <v/>
      </c>
      <c r="AC54" s="35"/>
      <c r="AD54" s="35"/>
      <c r="AE54" s="36"/>
      <c r="AF54" s="34" t="str">
        <f aca="true">IF(OR(D54="",R54="Cancelled"),"",IF(H54="","NO QTY",IF(AND(L54="Buy",E54=""),"NO PART NO",IF(AND(W54&lt;&gt;"",NOT(OR(R54="Received",R54="NSW Purchased")),W54&lt;TODAY()),"OVERDUE",IF(AND(W54&lt;&gt;"",Q54&lt;&gt;"",W54&gt;Q54),"LATE vs REQ",IF(AND(R54="Finalized – Not Purchased",T54=""),"NEED PR",IF(AND(Y54&lt;&gt;"",Y54&lt;J54),"SHORT","")))))))</f>
        <v/>
      </c>
      <c r="AG54" s="35"/>
    </row>
    <row r="55" customFormat="false" ht="15" hidden="false" customHeight="false" outlineLevel="0" collapsed="false">
      <c r="A55" s="34" t="str">
        <f aca="false">IF(B55="","",LEFT(B55,3)&amp;"-"&amp;TEXT(COUNTIF(B$11:B55,B55),"00"))</f>
        <v/>
      </c>
      <c r="B55" s="35"/>
      <c r="C55" s="35"/>
      <c r="D55" s="35"/>
      <c r="E55" s="35"/>
      <c r="F55" s="35"/>
      <c r="G55" s="35"/>
      <c r="H55" s="35"/>
      <c r="I55" s="35"/>
      <c r="J55" s="34" t="str">
        <f aca="false">IF(H55="","",H55*IF(I55="",1,I55))</f>
        <v/>
      </c>
      <c r="K55" s="35"/>
      <c r="L55" s="35"/>
      <c r="M55" s="35"/>
      <c r="N55" s="35"/>
      <c r="O55" s="35"/>
      <c r="P55" s="36"/>
      <c r="Q55" s="36"/>
      <c r="R55" s="35"/>
      <c r="S55" s="35"/>
      <c r="T55" s="35"/>
      <c r="U55" s="35"/>
      <c r="V55" s="36"/>
      <c r="W55" s="36"/>
      <c r="X55" s="35"/>
      <c r="Y55" s="35"/>
      <c r="Z55" s="36"/>
      <c r="AA55" s="37"/>
      <c r="AB55" s="38" t="str">
        <f aca="false">IF(OR(AA55="",J55=""),"",AA55*J55)</f>
        <v/>
      </c>
      <c r="AC55" s="35"/>
      <c r="AD55" s="35"/>
      <c r="AE55" s="36"/>
      <c r="AF55" s="34" t="str">
        <f aca="true">IF(OR(D55="",R55="Cancelled"),"",IF(H55="","NO QTY",IF(AND(L55="Buy",E55=""),"NO PART NO",IF(AND(W55&lt;&gt;"",NOT(OR(R55="Received",R55="NSW Purchased")),W55&lt;TODAY()),"OVERDUE",IF(AND(W55&lt;&gt;"",Q55&lt;&gt;"",W55&gt;Q55),"LATE vs REQ",IF(AND(R55="Finalized – Not Purchased",T55=""),"NEED PR",IF(AND(Y55&lt;&gt;"",Y55&lt;J55),"SHORT","")))))))</f>
        <v/>
      </c>
      <c r="AG55" s="35"/>
    </row>
    <row r="56" customFormat="false" ht="15" hidden="false" customHeight="false" outlineLevel="0" collapsed="false">
      <c r="A56" s="34" t="str">
        <f aca="false">IF(B56="","",LEFT(B56,3)&amp;"-"&amp;TEXT(COUNTIF(B$11:B56,B56),"00"))</f>
        <v/>
      </c>
      <c r="B56" s="35"/>
      <c r="C56" s="35"/>
      <c r="D56" s="35"/>
      <c r="E56" s="35"/>
      <c r="F56" s="35"/>
      <c r="G56" s="35"/>
      <c r="H56" s="35"/>
      <c r="I56" s="35"/>
      <c r="J56" s="34" t="str">
        <f aca="false">IF(H56="","",H56*IF(I56="",1,I56))</f>
        <v/>
      </c>
      <c r="K56" s="35"/>
      <c r="L56" s="35"/>
      <c r="M56" s="35"/>
      <c r="N56" s="35"/>
      <c r="O56" s="35"/>
      <c r="P56" s="36"/>
      <c r="Q56" s="36"/>
      <c r="R56" s="35"/>
      <c r="S56" s="35"/>
      <c r="T56" s="35"/>
      <c r="U56" s="35"/>
      <c r="V56" s="36"/>
      <c r="W56" s="36"/>
      <c r="X56" s="35"/>
      <c r="Y56" s="35"/>
      <c r="Z56" s="36"/>
      <c r="AA56" s="37"/>
      <c r="AB56" s="38" t="str">
        <f aca="false">IF(OR(AA56="",J56=""),"",AA56*J56)</f>
        <v/>
      </c>
      <c r="AC56" s="35"/>
      <c r="AD56" s="35"/>
      <c r="AE56" s="36"/>
      <c r="AF56" s="34" t="str">
        <f aca="true">IF(OR(D56="",R56="Cancelled"),"",IF(H56="","NO QTY",IF(AND(L56="Buy",E56=""),"NO PART NO",IF(AND(W56&lt;&gt;"",NOT(OR(R56="Received",R56="NSW Purchased")),W56&lt;TODAY()),"OVERDUE",IF(AND(W56&lt;&gt;"",Q56&lt;&gt;"",W56&gt;Q56),"LATE vs REQ",IF(AND(R56="Finalized – Not Purchased",T56=""),"NEED PR",IF(AND(Y56&lt;&gt;"",Y56&lt;J56),"SHORT","")))))))</f>
        <v/>
      </c>
      <c r="AG56" s="35"/>
    </row>
    <row r="57" customFormat="false" ht="15" hidden="false" customHeight="false" outlineLevel="0" collapsed="false">
      <c r="A57" s="34" t="str">
        <f aca="false">IF(B57="","",LEFT(B57,3)&amp;"-"&amp;TEXT(COUNTIF(B$11:B57,B57),"00"))</f>
        <v/>
      </c>
      <c r="B57" s="35"/>
      <c r="C57" s="35"/>
      <c r="D57" s="35"/>
      <c r="E57" s="35"/>
      <c r="F57" s="35"/>
      <c r="G57" s="35"/>
      <c r="H57" s="35"/>
      <c r="I57" s="35"/>
      <c r="J57" s="34" t="str">
        <f aca="false">IF(H57="","",H57*IF(I57="",1,I57))</f>
        <v/>
      </c>
      <c r="K57" s="35"/>
      <c r="L57" s="35"/>
      <c r="M57" s="35"/>
      <c r="N57" s="35"/>
      <c r="O57" s="35"/>
      <c r="P57" s="36"/>
      <c r="Q57" s="36"/>
      <c r="R57" s="35"/>
      <c r="S57" s="35"/>
      <c r="T57" s="35"/>
      <c r="U57" s="35"/>
      <c r="V57" s="36"/>
      <c r="W57" s="36"/>
      <c r="X57" s="35"/>
      <c r="Y57" s="35"/>
      <c r="Z57" s="36"/>
      <c r="AA57" s="37"/>
      <c r="AB57" s="38" t="str">
        <f aca="false">IF(OR(AA57="",J57=""),"",AA57*J57)</f>
        <v/>
      </c>
      <c r="AC57" s="35"/>
      <c r="AD57" s="35"/>
      <c r="AE57" s="36"/>
      <c r="AF57" s="34" t="str">
        <f aca="true">IF(OR(D57="",R57="Cancelled"),"",IF(H57="","NO QTY",IF(AND(L57="Buy",E57=""),"NO PART NO",IF(AND(W57&lt;&gt;"",NOT(OR(R57="Received",R57="NSW Purchased")),W57&lt;TODAY()),"OVERDUE",IF(AND(W57&lt;&gt;"",Q57&lt;&gt;"",W57&gt;Q57),"LATE vs REQ",IF(AND(R57="Finalized – Not Purchased",T57=""),"NEED PR",IF(AND(Y57&lt;&gt;"",Y57&lt;J57),"SHORT","")))))))</f>
        <v/>
      </c>
      <c r="AG57" s="35"/>
    </row>
    <row r="58" customFormat="false" ht="15" hidden="false" customHeight="false" outlineLevel="0" collapsed="false">
      <c r="A58" s="34" t="str">
        <f aca="false">IF(B58="","",LEFT(B58,3)&amp;"-"&amp;TEXT(COUNTIF(B$11:B58,B58),"00"))</f>
        <v/>
      </c>
      <c r="B58" s="35"/>
      <c r="C58" s="35"/>
      <c r="D58" s="35"/>
      <c r="E58" s="35"/>
      <c r="F58" s="35"/>
      <c r="G58" s="35"/>
      <c r="H58" s="35"/>
      <c r="I58" s="35"/>
      <c r="J58" s="34" t="str">
        <f aca="false">IF(H58="","",H58*IF(I58="",1,I58))</f>
        <v/>
      </c>
      <c r="K58" s="35"/>
      <c r="L58" s="35"/>
      <c r="M58" s="35"/>
      <c r="N58" s="35"/>
      <c r="O58" s="35"/>
      <c r="P58" s="36"/>
      <c r="Q58" s="36"/>
      <c r="R58" s="35"/>
      <c r="S58" s="35"/>
      <c r="T58" s="35"/>
      <c r="U58" s="35"/>
      <c r="V58" s="36"/>
      <c r="W58" s="36"/>
      <c r="X58" s="35"/>
      <c r="Y58" s="35"/>
      <c r="Z58" s="36"/>
      <c r="AA58" s="37"/>
      <c r="AB58" s="38" t="str">
        <f aca="false">IF(OR(AA58="",J58=""),"",AA58*J58)</f>
        <v/>
      </c>
      <c r="AC58" s="35"/>
      <c r="AD58" s="35"/>
      <c r="AE58" s="36"/>
      <c r="AF58" s="34" t="str">
        <f aca="true">IF(OR(D58="",R58="Cancelled"),"",IF(H58="","NO QTY",IF(AND(L58="Buy",E58=""),"NO PART NO",IF(AND(W58&lt;&gt;"",NOT(OR(R58="Received",R58="NSW Purchased")),W58&lt;TODAY()),"OVERDUE",IF(AND(W58&lt;&gt;"",Q58&lt;&gt;"",W58&gt;Q58),"LATE vs REQ",IF(AND(R58="Finalized – Not Purchased",T58=""),"NEED PR",IF(AND(Y58&lt;&gt;"",Y58&lt;J58),"SHORT","")))))))</f>
        <v/>
      </c>
      <c r="AG58" s="35"/>
    </row>
    <row r="59" customFormat="false" ht="15" hidden="false" customHeight="false" outlineLevel="0" collapsed="false">
      <c r="A59" s="34" t="str">
        <f aca="false">IF(B59="","",LEFT(B59,3)&amp;"-"&amp;TEXT(COUNTIF(B$11:B59,B59),"00"))</f>
        <v/>
      </c>
      <c r="B59" s="35"/>
      <c r="C59" s="35"/>
      <c r="D59" s="35"/>
      <c r="E59" s="35"/>
      <c r="F59" s="35"/>
      <c r="G59" s="35"/>
      <c r="H59" s="35"/>
      <c r="I59" s="35"/>
      <c r="J59" s="34" t="str">
        <f aca="false">IF(H59="","",H59*IF(I59="",1,I59))</f>
        <v/>
      </c>
      <c r="K59" s="35"/>
      <c r="L59" s="35"/>
      <c r="M59" s="35"/>
      <c r="N59" s="35"/>
      <c r="O59" s="35"/>
      <c r="P59" s="36"/>
      <c r="Q59" s="36"/>
      <c r="R59" s="35"/>
      <c r="S59" s="35"/>
      <c r="T59" s="35"/>
      <c r="U59" s="35"/>
      <c r="V59" s="36"/>
      <c r="W59" s="36"/>
      <c r="X59" s="35"/>
      <c r="Y59" s="35"/>
      <c r="Z59" s="36"/>
      <c r="AA59" s="37"/>
      <c r="AB59" s="38" t="str">
        <f aca="false">IF(OR(AA59="",J59=""),"",AA59*J59)</f>
        <v/>
      </c>
      <c r="AC59" s="35"/>
      <c r="AD59" s="35"/>
      <c r="AE59" s="36"/>
      <c r="AF59" s="34" t="str">
        <f aca="true">IF(OR(D59="",R59="Cancelled"),"",IF(H59="","NO QTY",IF(AND(L59="Buy",E59=""),"NO PART NO",IF(AND(W59&lt;&gt;"",NOT(OR(R59="Received",R59="NSW Purchased")),W59&lt;TODAY()),"OVERDUE",IF(AND(W59&lt;&gt;"",Q59&lt;&gt;"",W59&gt;Q59),"LATE vs REQ",IF(AND(R59="Finalized – Not Purchased",T59=""),"NEED PR",IF(AND(Y59&lt;&gt;"",Y59&lt;J59),"SHORT","")))))))</f>
        <v/>
      </c>
      <c r="AG59" s="35"/>
    </row>
    <row r="60" customFormat="false" ht="15" hidden="false" customHeight="false" outlineLevel="0" collapsed="false">
      <c r="A60" s="34" t="str">
        <f aca="false">IF(B60="","",LEFT(B60,3)&amp;"-"&amp;TEXT(COUNTIF(B$11:B60,B60),"00"))</f>
        <v/>
      </c>
      <c r="B60" s="35"/>
      <c r="C60" s="35"/>
      <c r="D60" s="35"/>
      <c r="E60" s="35"/>
      <c r="F60" s="35"/>
      <c r="G60" s="35"/>
      <c r="H60" s="35"/>
      <c r="I60" s="35"/>
      <c r="J60" s="34" t="str">
        <f aca="false">IF(H60="","",H60*IF(I60="",1,I60))</f>
        <v/>
      </c>
      <c r="K60" s="35"/>
      <c r="L60" s="35"/>
      <c r="M60" s="35"/>
      <c r="N60" s="35"/>
      <c r="O60" s="35"/>
      <c r="P60" s="36"/>
      <c r="Q60" s="36"/>
      <c r="R60" s="35"/>
      <c r="S60" s="35"/>
      <c r="T60" s="35"/>
      <c r="U60" s="35"/>
      <c r="V60" s="36"/>
      <c r="W60" s="36"/>
      <c r="X60" s="35"/>
      <c r="Y60" s="35"/>
      <c r="Z60" s="36"/>
      <c r="AA60" s="37"/>
      <c r="AB60" s="38" t="str">
        <f aca="false">IF(OR(AA60="",J60=""),"",AA60*J60)</f>
        <v/>
      </c>
      <c r="AC60" s="35"/>
      <c r="AD60" s="35"/>
      <c r="AE60" s="36"/>
      <c r="AF60" s="34" t="str">
        <f aca="true">IF(OR(D60="",R60="Cancelled"),"",IF(H60="","NO QTY",IF(AND(L60="Buy",E60=""),"NO PART NO",IF(AND(W60&lt;&gt;"",NOT(OR(R60="Received",R60="NSW Purchased")),W60&lt;TODAY()),"OVERDUE",IF(AND(W60&lt;&gt;"",Q60&lt;&gt;"",W60&gt;Q60),"LATE vs REQ",IF(AND(R60="Finalized – Not Purchased",T60=""),"NEED PR",IF(AND(Y60&lt;&gt;"",Y60&lt;J60),"SHORT","")))))))</f>
        <v/>
      </c>
      <c r="AG60" s="35"/>
    </row>
    <row r="61" customFormat="false" ht="15" hidden="false" customHeight="false" outlineLevel="0" collapsed="false">
      <c r="A61" s="34" t="str">
        <f aca="false">IF(B61="","",LEFT(B61,3)&amp;"-"&amp;TEXT(COUNTIF(B$11:B61,B61),"00"))</f>
        <v/>
      </c>
      <c r="B61" s="35"/>
      <c r="C61" s="35"/>
      <c r="D61" s="35"/>
      <c r="E61" s="35"/>
      <c r="F61" s="35"/>
      <c r="G61" s="35"/>
      <c r="H61" s="35"/>
      <c r="I61" s="35"/>
      <c r="J61" s="34" t="str">
        <f aca="false">IF(H61="","",H61*IF(I61="",1,I61))</f>
        <v/>
      </c>
      <c r="K61" s="35"/>
      <c r="L61" s="35"/>
      <c r="M61" s="35"/>
      <c r="N61" s="35"/>
      <c r="O61" s="35"/>
      <c r="P61" s="36"/>
      <c r="Q61" s="36"/>
      <c r="R61" s="35"/>
      <c r="S61" s="35"/>
      <c r="T61" s="35"/>
      <c r="U61" s="35"/>
      <c r="V61" s="36"/>
      <c r="W61" s="36"/>
      <c r="X61" s="35"/>
      <c r="Y61" s="35"/>
      <c r="Z61" s="36"/>
      <c r="AA61" s="37"/>
      <c r="AB61" s="38" t="str">
        <f aca="false">IF(OR(AA61="",J61=""),"",AA61*J61)</f>
        <v/>
      </c>
      <c r="AC61" s="35"/>
      <c r="AD61" s="35"/>
      <c r="AE61" s="36"/>
      <c r="AF61" s="34" t="str">
        <f aca="true">IF(OR(D61="",R61="Cancelled"),"",IF(H61="","NO QTY",IF(AND(L61="Buy",E61=""),"NO PART NO",IF(AND(W61&lt;&gt;"",NOT(OR(R61="Received",R61="NSW Purchased")),W61&lt;TODAY()),"OVERDUE",IF(AND(W61&lt;&gt;"",Q61&lt;&gt;"",W61&gt;Q61),"LATE vs REQ",IF(AND(R61="Finalized – Not Purchased",T61=""),"NEED PR",IF(AND(Y61&lt;&gt;"",Y61&lt;J61),"SHORT","")))))))</f>
        <v/>
      </c>
      <c r="AG61" s="35"/>
    </row>
    <row r="62" customFormat="false" ht="15" hidden="false" customHeight="false" outlineLevel="0" collapsed="false">
      <c r="A62" s="34" t="str">
        <f aca="false">IF(B62="","",LEFT(B62,3)&amp;"-"&amp;TEXT(COUNTIF(B$11:B62,B62),"00"))</f>
        <v/>
      </c>
      <c r="B62" s="35"/>
      <c r="C62" s="35"/>
      <c r="D62" s="35"/>
      <c r="E62" s="35"/>
      <c r="F62" s="35"/>
      <c r="G62" s="35"/>
      <c r="H62" s="35"/>
      <c r="I62" s="35"/>
      <c r="J62" s="34" t="str">
        <f aca="false">IF(H62="","",H62*IF(I62="",1,I62))</f>
        <v/>
      </c>
      <c r="K62" s="35"/>
      <c r="L62" s="35"/>
      <c r="M62" s="35"/>
      <c r="N62" s="35"/>
      <c r="O62" s="35"/>
      <c r="P62" s="36"/>
      <c r="Q62" s="36"/>
      <c r="R62" s="35"/>
      <c r="S62" s="35"/>
      <c r="T62" s="35"/>
      <c r="U62" s="35"/>
      <c r="V62" s="36"/>
      <c r="W62" s="36"/>
      <c r="X62" s="35"/>
      <c r="Y62" s="35"/>
      <c r="Z62" s="36"/>
      <c r="AA62" s="37"/>
      <c r="AB62" s="38" t="str">
        <f aca="false">IF(OR(AA62="",J62=""),"",AA62*J62)</f>
        <v/>
      </c>
      <c r="AC62" s="35"/>
      <c r="AD62" s="35"/>
      <c r="AE62" s="36"/>
      <c r="AF62" s="34" t="str">
        <f aca="true">IF(OR(D62="",R62="Cancelled"),"",IF(H62="","NO QTY",IF(AND(L62="Buy",E62=""),"NO PART NO",IF(AND(W62&lt;&gt;"",NOT(OR(R62="Received",R62="NSW Purchased")),W62&lt;TODAY()),"OVERDUE",IF(AND(W62&lt;&gt;"",Q62&lt;&gt;"",W62&gt;Q62),"LATE vs REQ",IF(AND(R62="Finalized – Not Purchased",T62=""),"NEED PR",IF(AND(Y62&lt;&gt;"",Y62&lt;J62),"SHORT","")))))))</f>
        <v/>
      </c>
      <c r="AG62" s="35"/>
    </row>
    <row r="63" customFormat="false" ht="15" hidden="false" customHeight="false" outlineLevel="0" collapsed="false">
      <c r="A63" s="34" t="str">
        <f aca="false">IF(B63="","",LEFT(B63,3)&amp;"-"&amp;TEXT(COUNTIF(B$11:B63,B63),"00"))</f>
        <v/>
      </c>
      <c r="B63" s="35"/>
      <c r="C63" s="35"/>
      <c r="D63" s="35"/>
      <c r="E63" s="35"/>
      <c r="F63" s="35"/>
      <c r="G63" s="35"/>
      <c r="H63" s="35"/>
      <c r="I63" s="35"/>
      <c r="J63" s="34" t="str">
        <f aca="false">IF(H63="","",H63*IF(I63="",1,I63))</f>
        <v/>
      </c>
      <c r="K63" s="35"/>
      <c r="L63" s="35"/>
      <c r="M63" s="35"/>
      <c r="N63" s="35"/>
      <c r="O63" s="35"/>
      <c r="P63" s="36"/>
      <c r="Q63" s="36"/>
      <c r="R63" s="35"/>
      <c r="S63" s="35"/>
      <c r="T63" s="35"/>
      <c r="U63" s="35"/>
      <c r="V63" s="36"/>
      <c r="W63" s="36"/>
      <c r="X63" s="35"/>
      <c r="Y63" s="35"/>
      <c r="Z63" s="36"/>
      <c r="AA63" s="37"/>
      <c r="AB63" s="38" t="str">
        <f aca="false">IF(OR(AA63="",J63=""),"",AA63*J63)</f>
        <v/>
      </c>
      <c r="AC63" s="35"/>
      <c r="AD63" s="35"/>
      <c r="AE63" s="36"/>
      <c r="AF63" s="34" t="str">
        <f aca="true">IF(OR(D63="",R63="Cancelled"),"",IF(H63="","NO QTY",IF(AND(L63="Buy",E63=""),"NO PART NO",IF(AND(W63&lt;&gt;"",NOT(OR(R63="Received",R63="NSW Purchased")),W63&lt;TODAY()),"OVERDUE",IF(AND(W63&lt;&gt;"",Q63&lt;&gt;"",W63&gt;Q63),"LATE vs REQ",IF(AND(R63="Finalized – Not Purchased",T63=""),"NEED PR",IF(AND(Y63&lt;&gt;"",Y63&lt;J63),"SHORT","")))))))</f>
        <v/>
      </c>
      <c r="AG63" s="35"/>
    </row>
    <row r="64" customFormat="false" ht="15" hidden="false" customHeight="false" outlineLevel="0" collapsed="false">
      <c r="A64" s="34" t="str">
        <f aca="false">IF(B64="","",LEFT(B64,3)&amp;"-"&amp;TEXT(COUNTIF(B$11:B64,B64),"00"))</f>
        <v/>
      </c>
      <c r="B64" s="35"/>
      <c r="C64" s="35"/>
      <c r="D64" s="35"/>
      <c r="E64" s="35"/>
      <c r="F64" s="35"/>
      <c r="G64" s="35"/>
      <c r="H64" s="35"/>
      <c r="I64" s="35"/>
      <c r="J64" s="34" t="str">
        <f aca="false">IF(H64="","",H64*IF(I64="",1,I64))</f>
        <v/>
      </c>
      <c r="K64" s="35"/>
      <c r="L64" s="35"/>
      <c r="M64" s="35"/>
      <c r="N64" s="35"/>
      <c r="O64" s="35"/>
      <c r="P64" s="36"/>
      <c r="Q64" s="36"/>
      <c r="R64" s="35"/>
      <c r="S64" s="35"/>
      <c r="T64" s="35"/>
      <c r="U64" s="35"/>
      <c r="V64" s="36"/>
      <c r="W64" s="36"/>
      <c r="X64" s="35"/>
      <c r="Y64" s="35"/>
      <c r="Z64" s="36"/>
      <c r="AA64" s="37"/>
      <c r="AB64" s="38" t="str">
        <f aca="false">IF(OR(AA64="",J64=""),"",AA64*J64)</f>
        <v/>
      </c>
      <c r="AC64" s="35"/>
      <c r="AD64" s="35"/>
      <c r="AE64" s="36"/>
      <c r="AF64" s="34" t="str">
        <f aca="true">IF(OR(D64="",R64="Cancelled"),"",IF(H64="","NO QTY",IF(AND(L64="Buy",E64=""),"NO PART NO",IF(AND(W64&lt;&gt;"",NOT(OR(R64="Received",R64="NSW Purchased")),W64&lt;TODAY()),"OVERDUE",IF(AND(W64&lt;&gt;"",Q64&lt;&gt;"",W64&gt;Q64),"LATE vs REQ",IF(AND(R64="Finalized – Not Purchased",T64=""),"NEED PR",IF(AND(Y64&lt;&gt;"",Y64&lt;J64),"SHORT","")))))))</f>
        <v/>
      </c>
      <c r="AG64" s="35"/>
    </row>
    <row r="65" customFormat="false" ht="15" hidden="false" customHeight="false" outlineLevel="0" collapsed="false">
      <c r="A65" s="34" t="str">
        <f aca="false">IF(B65="","",LEFT(B65,3)&amp;"-"&amp;TEXT(COUNTIF(B$11:B65,B65),"00"))</f>
        <v/>
      </c>
      <c r="B65" s="35"/>
      <c r="C65" s="35"/>
      <c r="D65" s="35"/>
      <c r="E65" s="35"/>
      <c r="F65" s="35"/>
      <c r="G65" s="35"/>
      <c r="H65" s="35"/>
      <c r="I65" s="35"/>
      <c r="J65" s="34" t="str">
        <f aca="false">IF(H65="","",H65*IF(I65="",1,I65))</f>
        <v/>
      </c>
      <c r="K65" s="35"/>
      <c r="L65" s="35"/>
      <c r="M65" s="35"/>
      <c r="N65" s="35"/>
      <c r="O65" s="35"/>
      <c r="P65" s="36"/>
      <c r="Q65" s="36"/>
      <c r="R65" s="35"/>
      <c r="S65" s="35"/>
      <c r="T65" s="35"/>
      <c r="U65" s="35"/>
      <c r="V65" s="36"/>
      <c r="W65" s="36"/>
      <c r="X65" s="35"/>
      <c r="Y65" s="35"/>
      <c r="Z65" s="36"/>
      <c r="AA65" s="37"/>
      <c r="AB65" s="38" t="str">
        <f aca="false">IF(OR(AA65="",J65=""),"",AA65*J65)</f>
        <v/>
      </c>
      <c r="AC65" s="35"/>
      <c r="AD65" s="35"/>
      <c r="AE65" s="36"/>
      <c r="AF65" s="34" t="str">
        <f aca="true">IF(OR(D65="",R65="Cancelled"),"",IF(H65="","NO QTY",IF(AND(L65="Buy",E65=""),"NO PART NO",IF(AND(W65&lt;&gt;"",NOT(OR(R65="Received",R65="NSW Purchased")),W65&lt;TODAY()),"OVERDUE",IF(AND(W65&lt;&gt;"",Q65&lt;&gt;"",W65&gt;Q65),"LATE vs REQ",IF(AND(R65="Finalized – Not Purchased",T65=""),"NEED PR",IF(AND(Y65&lt;&gt;"",Y65&lt;J65),"SHORT","")))))))</f>
        <v/>
      </c>
      <c r="AG65" s="35"/>
    </row>
    <row r="66" customFormat="false" ht="15" hidden="false" customHeight="false" outlineLevel="0" collapsed="false">
      <c r="A66" s="34" t="str">
        <f aca="false">IF(B66="","",LEFT(B66,3)&amp;"-"&amp;TEXT(COUNTIF(B$11:B66,B66),"00"))</f>
        <v/>
      </c>
      <c r="B66" s="35"/>
      <c r="C66" s="35"/>
      <c r="D66" s="35"/>
      <c r="E66" s="35"/>
      <c r="F66" s="35"/>
      <c r="G66" s="35"/>
      <c r="H66" s="35"/>
      <c r="I66" s="35"/>
      <c r="J66" s="34" t="str">
        <f aca="false">IF(H66="","",H66*IF(I66="",1,I66))</f>
        <v/>
      </c>
      <c r="K66" s="35"/>
      <c r="L66" s="35"/>
      <c r="M66" s="35"/>
      <c r="N66" s="35"/>
      <c r="O66" s="35"/>
      <c r="P66" s="36"/>
      <c r="Q66" s="36"/>
      <c r="R66" s="35"/>
      <c r="S66" s="35"/>
      <c r="T66" s="35"/>
      <c r="U66" s="35"/>
      <c r="V66" s="36"/>
      <c r="W66" s="36"/>
      <c r="X66" s="35"/>
      <c r="Y66" s="35"/>
      <c r="Z66" s="36"/>
      <c r="AA66" s="37"/>
      <c r="AB66" s="38" t="str">
        <f aca="false">IF(OR(AA66="",J66=""),"",AA66*J66)</f>
        <v/>
      </c>
      <c r="AC66" s="35"/>
      <c r="AD66" s="35"/>
      <c r="AE66" s="36"/>
      <c r="AF66" s="34" t="str">
        <f aca="true">IF(OR(D66="",R66="Cancelled"),"",IF(H66="","NO QTY",IF(AND(L66="Buy",E66=""),"NO PART NO",IF(AND(W66&lt;&gt;"",NOT(OR(R66="Received",R66="NSW Purchased")),W66&lt;TODAY()),"OVERDUE",IF(AND(W66&lt;&gt;"",Q66&lt;&gt;"",W66&gt;Q66),"LATE vs REQ",IF(AND(R66="Finalized – Not Purchased",T66=""),"NEED PR",IF(AND(Y66&lt;&gt;"",Y66&lt;J66),"SHORT","")))))))</f>
        <v/>
      </c>
      <c r="AG66" s="35"/>
    </row>
    <row r="67" customFormat="false" ht="15" hidden="false" customHeight="false" outlineLevel="0" collapsed="false">
      <c r="A67" s="34" t="str">
        <f aca="false">IF(B67="","",LEFT(B67,3)&amp;"-"&amp;TEXT(COUNTIF(B$11:B67,B67),"00"))</f>
        <v/>
      </c>
      <c r="B67" s="35"/>
      <c r="C67" s="35"/>
      <c r="D67" s="35"/>
      <c r="E67" s="35"/>
      <c r="F67" s="35"/>
      <c r="G67" s="35"/>
      <c r="H67" s="35"/>
      <c r="I67" s="35"/>
      <c r="J67" s="34" t="str">
        <f aca="false">IF(H67="","",H67*IF(I67="",1,I67))</f>
        <v/>
      </c>
      <c r="K67" s="35"/>
      <c r="L67" s="35"/>
      <c r="M67" s="35"/>
      <c r="N67" s="35"/>
      <c r="O67" s="35"/>
      <c r="P67" s="36"/>
      <c r="Q67" s="36"/>
      <c r="R67" s="35"/>
      <c r="S67" s="35"/>
      <c r="T67" s="35"/>
      <c r="U67" s="35"/>
      <c r="V67" s="36"/>
      <c r="W67" s="36"/>
      <c r="X67" s="35"/>
      <c r="Y67" s="35"/>
      <c r="Z67" s="36"/>
      <c r="AA67" s="37"/>
      <c r="AB67" s="38" t="str">
        <f aca="false">IF(OR(AA67="",J67=""),"",AA67*J67)</f>
        <v/>
      </c>
      <c r="AC67" s="35"/>
      <c r="AD67" s="35"/>
      <c r="AE67" s="36"/>
      <c r="AF67" s="34" t="str">
        <f aca="true">IF(OR(D67="",R67="Cancelled"),"",IF(H67="","NO QTY",IF(AND(L67="Buy",E67=""),"NO PART NO",IF(AND(W67&lt;&gt;"",NOT(OR(R67="Received",R67="NSW Purchased")),W67&lt;TODAY()),"OVERDUE",IF(AND(W67&lt;&gt;"",Q67&lt;&gt;"",W67&gt;Q67),"LATE vs REQ",IF(AND(R67="Finalized – Not Purchased",T67=""),"NEED PR",IF(AND(Y67&lt;&gt;"",Y67&lt;J67),"SHORT","")))))))</f>
        <v/>
      </c>
      <c r="AG67" s="35"/>
    </row>
    <row r="68" customFormat="false" ht="15" hidden="false" customHeight="false" outlineLevel="0" collapsed="false">
      <c r="A68" s="34" t="str">
        <f aca="false">IF(B68="","",LEFT(B68,3)&amp;"-"&amp;TEXT(COUNTIF(B$11:B68,B68),"00"))</f>
        <v/>
      </c>
      <c r="B68" s="35"/>
      <c r="C68" s="35"/>
      <c r="D68" s="35"/>
      <c r="E68" s="35"/>
      <c r="F68" s="35"/>
      <c r="G68" s="35"/>
      <c r="H68" s="35"/>
      <c r="I68" s="35"/>
      <c r="J68" s="34" t="str">
        <f aca="false">IF(H68="","",H68*IF(I68="",1,I68))</f>
        <v/>
      </c>
      <c r="K68" s="35"/>
      <c r="L68" s="35"/>
      <c r="M68" s="35"/>
      <c r="N68" s="35"/>
      <c r="O68" s="35"/>
      <c r="P68" s="36"/>
      <c r="Q68" s="36"/>
      <c r="R68" s="35"/>
      <c r="S68" s="35"/>
      <c r="T68" s="35"/>
      <c r="U68" s="35"/>
      <c r="V68" s="36"/>
      <c r="W68" s="36"/>
      <c r="X68" s="35"/>
      <c r="Y68" s="35"/>
      <c r="Z68" s="36"/>
      <c r="AA68" s="37"/>
      <c r="AB68" s="38" t="str">
        <f aca="false">IF(OR(AA68="",J68=""),"",AA68*J68)</f>
        <v/>
      </c>
      <c r="AC68" s="35"/>
      <c r="AD68" s="35"/>
      <c r="AE68" s="36"/>
      <c r="AF68" s="34" t="str">
        <f aca="true">IF(OR(D68="",R68="Cancelled"),"",IF(H68="","NO QTY",IF(AND(L68="Buy",E68=""),"NO PART NO",IF(AND(W68&lt;&gt;"",NOT(OR(R68="Received",R68="NSW Purchased")),W68&lt;TODAY()),"OVERDUE",IF(AND(W68&lt;&gt;"",Q68&lt;&gt;"",W68&gt;Q68),"LATE vs REQ",IF(AND(R68="Finalized – Not Purchased",T68=""),"NEED PR",IF(AND(Y68&lt;&gt;"",Y68&lt;J68),"SHORT","")))))))</f>
        <v/>
      </c>
      <c r="AG68" s="35"/>
    </row>
    <row r="69" customFormat="false" ht="15" hidden="false" customHeight="false" outlineLevel="0" collapsed="false">
      <c r="A69" s="34" t="str">
        <f aca="false">IF(B69="","",LEFT(B69,3)&amp;"-"&amp;TEXT(COUNTIF(B$11:B69,B69),"00"))</f>
        <v/>
      </c>
      <c r="B69" s="35"/>
      <c r="C69" s="35"/>
      <c r="D69" s="35"/>
      <c r="E69" s="35"/>
      <c r="F69" s="35"/>
      <c r="G69" s="35"/>
      <c r="H69" s="35"/>
      <c r="I69" s="35"/>
      <c r="J69" s="34" t="str">
        <f aca="false">IF(H69="","",H69*IF(I69="",1,I69))</f>
        <v/>
      </c>
      <c r="K69" s="35"/>
      <c r="L69" s="35"/>
      <c r="M69" s="35"/>
      <c r="N69" s="35"/>
      <c r="O69" s="35"/>
      <c r="P69" s="36"/>
      <c r="Q69" s="36"/>
      <c r="R69" s="35"/>
      <c r="S69" s="35"/>
      <c r="T69" s="35"/>
      <c r="U69" s="35"/>
      <c r="V69" s="36"/>
      <c r="W69" s="36"/>
      <c r="X69" s="35"/>
      <c r="Y69" s="35"/>
      <c r="Z69" s="36"/>
      <c r="AA69" s="37"/>
      <c r="AB69" s="38" t="str">
        <f aca="false">IF(OR(AA69="",J69=""),"",AA69*J69)</f>
        <v/>
      </c>
      <c r="AC69" s="35"/>
      <c r="AD69" s="35"/>
      <c r="AE69" s="36"/>
      <c r="AF69" s="34" t="str">
        <f aca="true">IF(OR(D69="",R69="Cancelled"),"",IF(H69="","NO QTY",IF(AND(L69="Buy",E69=""),"NO PART NO",IF(AND(W69&lt;&gt;"",NOT(OR(R69="Received",R69="NSW Purchased")),W69&lt;TODAY()),"OVERDUE",IF(AND(W69&lt;&gt;"",Q69&lt;&gt;"",W69&gt;Q69),"LATE vs REQ",IF(AND(R69="Finalized – Not Purchased",T69=""),"NEED PR",IF(AND(Y69&lt;&gt;"",Y69&lt;J69),"SHORT","")))))))</f>
        <v/>
      </c>
      <c r="AG69" s="35"/>
    </row>
    <row r="70" customFormat="false" ht="15" hidden="false" customHeight="false" outlineLevel="0" collapsed="false">
      <c r="A70" s="34" t="str">
        <f aca="false">IF(B70="","",LEFT(B70,3)&amp;"-"&amp;TEXT(COUNTIF(B$11:B70,B70),"00"))</f>
        <v/>
      </c>
      <c r="B70" s="35"/>
      <c r="C70" s="35"/>
      <c r="D70" s="35"/>
      <c r="E70" s="35"/>
      <c r="F70" s="35"/>
      <c r="G70" s="35"/>
      <c r="H70" s="35"/>
      <c r="I70" s="35"/>
      <c r="J70" s="34" t="str">
        <f aca="false">IF(H70="","",H70*IF(I70="",1,I70))</f>
        <v/>
      </c>
      <c r="K70" s="35"/>
      <c r="L70" s="35"/>
      <c r="M70" s="35"/>
      <c r="N70" s="35"/>
      <c r="O70" s="35"/>
      <c r="P70" s="36"/>
      <c r="Q70" s="36"/>
      <c r="R70" s="35"/>
      <c r="S70" s="35"/>
      <c r="T70" s="35"/>
      <c r="U70" s="35"/>
      <c r="V70" s="36"/>
      <c r="W70" s="36"/>
      <c r="X70" s="35"/>
      <c r="Y70" s="35"/>
      <c r="Z70" s="36"/>
      <c r="AA70" s="37"/>
      <c r="AB70" s="38" t="str">
        <f aca="false">IF(OR(AA70="",J70=""),"",AA70*J70)</f>
        <v/>
      </c>
      <c r="AC70" s="35"/>
      <c r="AD70" s="35"/>
      <c r="AE70" s="36"/>
      <c r="AF70" s="34" t="str">
        <f aca="true">IF(OR(D70="",R70="Cancelled"),"",IF(H70="","NO QTY",IF(AND(L70="Buy",E70=""),"NO PART NO",IF(AND(W70&lt;&gt;"",NOT(OR(R70="Received",R70="NSW Purchased")),W70&lt;TODAY()),"OVERDUE",IF(AND(W70&lt;&gt;"",Q70&lt;&gt;"",W70&gt;Q70),"LATE vs REQ",IF(AND(R70="Finalized – Not Purchased",T70=""),"NEED PR",IF(AND(Y70&lt;&gt;"",Y70&lt;J70),"SHORT","")))))))</f>
        <v/>
      </c>
      <c r="AG70" s="35"/>
    </row>
    <row r="71" customFormat="false" ht="15" hidden="false" customHeight="false" outlineLevel="0" collapsed="false">
      <c r="A71" s="34" t="str">
        <f aca="false">IF(B71="","",LEFT(B71,3)&amp;"-"&amp;TEXT(COUNTIF(B$11:B71,B71),"00"))</f>
        <v/>
      </c>
      <c r="B71" s="35"/>
      <c r="C71" s="35"/>
      <c r="D71" s="35"/>
      <c r="E71" s="35"/>
      <c r="F71" s="35"/>
      <c r="G71" s="35"/>
      <c r="H71" s="35"/>
      <c r="I71" s="35"/>
      <c r="J71" s="34" t="str">
        <f aca="false">IF(H71="","",H71*IF(I71="",1,I71))</f>
        <v/>
      </c>
      <c r="K71" s="35"/>
      <c r="L71" s="35"/>
      <c r="M71" s="35"/>
      <c r="N71" s="35"/>
      <c r="O71" s="35"/>
      <c r="P71" s="36"/>
      <c r="Q71" s="36"/>
      <c r="R71" s="35"/>
      <c r="S71" s="35"/>
      <c r="T71" s="35"/>
      <c r="U71" s="35"/>
      <c r="V71" s="36"/>
      <c r="W71" s="36"/>
      <c r="X71" s="35"/>
      <c r="Y71" s="35"/>
      <c r="Z71" s="36"/>
      <c r="AA71" s="37"/>
      <c r="AB71" s="38" t="str">
        <f aca="false">IF(OR(AA71="",J71=""),"",AA71*J71)</f>
        <v/>
      </c>
      <c r="AC71" s="35"/>
      <c r="AD71" s="35"/>
      <c r="AE71" s="36"/>
      <c r="AF71" s="34" t="str">
        <f aca="true">IF(OR(D71="",R71="Cancelled"),"",IF(H71="","NO QTY",IF(AND(L71="Buy",E71=""),"NO PART NO",IF(AND(W71&lt;&gt;"",NOT(OR(R71="Received",R71="NSW Purchased")),W71&lt;TODAY()),"OVERDUE",IF(AND(W71&lt;&gt;"",Q71&lt;&gt;"",W71&gt;Q71),"LATE vs REQ",IF(AND(R71="Finalized – Not Purchased",T71=""),"NEED PR",IF(AND(Y71&lt;&gt;"",Y71&lt;J71),"SHORT","")))))))</f>
        <v/>
      </c>
      <c r="AG71" s="35"/>
    </row>
    <row r="72" customFormat="false" ht="15" hidden="false" customHeight="false" outlineLevel="0" collapsed="false">
      <c r="A72" s="34" t="str">
        <f aca="false">IF(B72="","",LEFT(B72,3)&amp;"-"&amp;TEXT(COUNTIF(B$11:B72,B72),"00"))</f>
        <v/>
      </c>
      <c r="B72" s="35"/>
      <c r="C72" s="35"/>
      <c r="D72" s="35"/>
      <c r="E72" s="35"/>
      <c r="F72" s="35"/>
      <c r="G72" s="35"/>
      <c r="H72" s="35"/>
      <c r="I72" s="35"/>
      <c r="J72" s="34" t="str">
        <f aca="false">IF(H72="","",H72*IF(I72="",1,I72))</f>
        <v/>
      </c>
      <c r="K72" s="35"/>
      <c r="L72" s="35"/>
      <c r="M72" s="35"/>
      <c r="N72" s="35"/>
      <c r="O72" s="35"/>
      <c r="P72" s="36"/>
      <c r="Q72" s="36"/>
      <c r="R72" s="35"/>
      <c r="S72" s="35"/>
      <c r="T72" s="35"/>
      <c r="U72" s="35"/>
      <c r="V72" s="36"/>
      <c r="W72" s="36"/>
      <c r="X72" s="35"/>
      <c r="Y72" s="35"/>
      <c r="Z72" s="36"/>
      <c r="AA72" s="37"/>
      <c r="AB72" s="38" t="str">
        <f aca="false">IF(OR(AA72="",J72=""),"",AA72*J72)</f>
        <v/>
      </c>
      <c r="AC72" s="35"/>
      <c r="AD72" s="35"/>
      <c r="AE72" s="36"/>
      <c r="AF72" s="34" t="str">
        <f aca="true">IF(OR(D72="",R72="Cancelled"),"",IF(H72="","NO QTY",IF(AND(L72="Buy",E72=""),"NO PART NO",IF(AND(W72&lt;&gt;"",NOT(OR(R72="Received",R72="NSW Purchased")),W72&lt;TODAY()),"OVERDUE",IF(AND(W72&lt;&gt;"",Q72&lt;&gt;"",W72&gt;Q72),"LATE vs REQ",IF(AND(R72="Finalized – Not Purchased",T72=""),"NEED PR",IF(AND(Y72&lt;&gt;"",Y72&lt;J72),"SHORT","")))))))</f>
        <v/>
      </c>
      <c r="AG72" s="35"/>
    </row>
    <row r="73" customFormat="false" ht="15" hidden="false" customHeight="false" outlineLevel="0" collapsed="false">
      <c r="A73" s="34" t="str">
        <f aca="false">IF(B73="","",LEFT(B73,3)&amp;"-"&amp;TEXT(COUNTIF(B$11:B73,B73),"00"))</f>
        <v/>
      </c>
      <c r="B73" s="35"/>
      <c r="C73" s="35"/>
      <c r="D73" s="35"/>
      <c r="E73" s="35"/>
      <c r="F73" s="35"/>
      <c r="G73" s="35"/>
      <c r="H73" s="35"/>
      <c r="I73" s="35"/>
      <c r="J73" s="34" t="str">
        <f aca="false">IF(H73="","",H73*IF(I73="",1,I73))</f>
        <v/>
      </c>
      <c r="K73" s="35"/>
      <c r="L73" s="35"/>
      <c r="M73" s="35"/>
      <c r="N73" s="35"/>
      <c r="O73" s="35"/>
      <c r="P73" s="36"/>
      <c r="Q73" s="36"/>
      <c r="R73" s="35"/>
      <c r="S73" s="35"/>
      <c r="T73" s="35"/>
      <c r="U73" s="35"/>
      <c r="V73" s="36"/>
      <c r="W73" s="36"/>
      <c r="X73" s="35"/>
      <c r="Y73" s="35"/>
      <c r="Z73" s="36"/>
      <c r="AA73" s="37"/>
      <c r="AB73" s="38" t="str">
        <f aca="false">IF(OR(AA73="",J73=""),"",AA73*J73)</f>
        <v/>
      </c>
      <c r="AC73" s="35"/>
      <c r="AD73" s="35"/>
      <c r="AE73" s="36"/>
      <c r="AF73" s="34" t="str">
        <f aca="true">IF(OR(D73="",R73="Cancelled"),"",IF(H73="","NO QTY",IF(AND(L73="Buy",E73=""),"NO PART NO",IF(AND(W73&lt;&gt;"",NOT(OR(R73="Received",R73="NSW Purchased")),W73&lt;TODAY()),"OVERDUE",IF(AND(W73&lt;&gt;"",Q73&lt;&gt;"",W73&gt;Q73),"LATE vs REQ",IF(AND(R73="Finalized – Not Purchased",T73=""),"NEED PR",IF(AND(Y73&lt;&gt;"",Y73&lt;J73),"SHORT","")))))))</f>
        <v/>
      </c>
      <c r="AG73" s="35"/>
    </row>
    <row r="74" customFormat="false" ht="15" hidden="false" customHeight="false" outlineLevel="0" collapsed="false">
      <c r="A74" s="34" t="str">
        <f aca="false">IF(B74="","",LEFT(B74,3)&amp;"-"&amp;TEXT(COUNTIF(B$11:B74,B74),"00"))</f>
        <v/>
      </c>
      <c r="B74" s="35"/>
      <c r="C74" s="35"/>
      <c r="D74" s="35"/>
      <c r="E74" s="35"/>
      <c r="F74" s="35"/>
      <c r="G74" s="35"/>
      <c r="H74" s="35"/>
      <c r="I74" s="35"/>
      <c r="J74" s="34" t="str">
        <f aca="false">IF(H74="","",H74*IF(I74="",1,I74))</f>
        <v/>
      </c>
      <c r="K74" s="35"/>
      <c r="L74" s="35"/>
      <c r="M74" s="35"/>
      <c r="N74" s="35"/>
      <c r="O74" s="35"/>
      <c r="P74" s="36"/>
      <c r="Q74" s="36"/>
      <c r="R74" s="35"/>
      <c r="S74" s="35"/>
      <c r="T74" s="35"/>
      <c r="U74" s="35"/>
      <c r="V74" s="36"/>
      <c r="W74" s="36"/>
      <c r="X74" s="35"/>
      <c r="Y74" s="35"/>
      <c r="Z74" s="36"/>
      <c r="AA74" s="37"/>
      <c r="AB74" s="38" t="str">
        <f aca="false">IF(OR(AA74="",J74=""),"",AA74*J74)</f>
        <v/>
      </c>
      <c r="AC74" s="35"/>
      <c r="AD74" s="35"/>
      <c r="AE74" s="36"/>
      <c r="AF74" s="34" t="str">
        <f aca="true">IF(OR(D74="",R74="Cancelled"),"",IF(H74="","NO QTY",IF(AND(L74="Buy",E74=""),"NO PART NO",IF(AND(W74&lt;&gt;"",NOT(OR(R74="Received",R74="NSW Purchased")),W74&lt;TODAY()),"OVERDUE",IF(AND(W74&lt;&gt;"",Q74&lt;&gt;"",W74&gt;Q74),"LATE vs REQ",IF(AND(R74="Finalized – Not Purchased",T74=""),"NEED PR",IF(AND(Y74&lt;&gt;"",Y74&lt;J74),"SHORT","")))))))</f>
        <v/>
      </c>
      <c r="AG74" s="35"/>
    </row>
    <row r="75" customFormat="false" ht="15" hidden="false" customHeight="false" outlineLevel="0" collapsed="false">
      <c r="A75" s="34" t="str">
        <f aca="false">IF(B75="","",LEFT(B75,3)&amp;"-"&amp;TEXT(COUNTIF(B$11:B75,B75),"00"))</f>
        <v/>
      </c>
      <c r="B75" s="35"/>
      <c r="C75" s="35"/>
      <c r="D75" s="35"/>
      <c r="E75" s="35"/>
      <c r="F75" s="35"/>
      <c r="G75" s="35"/>
      <c r="H75" s="35"/>
      <c r="I75" s="35"/>
      <c r="J75" s="34" t="str">
        <f aca="false">IF(H75="","",H75*IF(I75="",1,I75))</f>
        <v/>
      </c>
      <c r="K75" s="35"/>
      <c r="L75" s="35"/>
      <c r="M75" s="35"/>
      <c r="N75" s="35"/>
      <c r="O75" s="35"/>
      <c r="P75" s="36"/>
      <c r="Q75" s="36"/>
      <c r="R75" s="35"/>
      <c r="S75" s="35"/>
      <c r="T75" s="35"/>
      <c r="U75" s="35"/>
      <c r="V75" s="36"/>
      <c r="W75" s="36"/>
      <c r="X75" s="35"/>
      <c r="Y75" s="35"/>
      <c r="Z75" s="36"/>
      <c r="AA75" s="37"/>
      <c r="AB75" s="38" t="str">
        <f aca="false">IF(OR(AA75="",J75=""),"",AA75*J75)</f>
        <v/>
      </c>
      <c r="AC75" s="35"/>
      <c r="AD75" s="35"/>
      <c r="AE75" s="36"/>
      <c r="AF75" s="34" t="str">
        <f aca="true">IF(OR(D75="",R75="Cancelled"),"",IF(H75="","NO QTY",IF(AND(L75="Buy",E75=""),"NO PART NO",IF(AND(W75&lt;&gt;"",NOT(OR(R75="Received",R75="NSW Purchased")),W75&lt;TODAY()),"OVERDUE",IF(AND(W75&lt;&gt;"",Q75&lt;&gt;"",W75&gt;Q75),"LATE vs REQ",IF(AND(R75="Finalized – Not Purchased",T75=""),"NEED PR",IF(AND(Y75&lt;&gt;"",Y75&lt;J75),"SHORT","")))))))</f>
        <v/>
      </c>
      <c r="AG75" s="35"/>
    </row>
    <row r="76" customFormat="false" ht="15" hidden="false" customHeight="false" outlineLevel="0" collapsed="false">
      <c r="A76" s="34" t="str">
        <f aca="false">IF(B76="","",LEFT(B76,3)&amp;"-"&amp;TEXT(COUNTIF(B$11:B76,B76),"00"))</f>
        <v/>
      </c>
      <c r="B76" s="35"/>
      <c r="C76" s="35"/>
      <c r="D76" s="35"/>
      <c r="E76" s="35"/>
      <c r="F76" s="35"/>
      <c r="G76" s="35"/>
      <c r="H76" s="35"/>
      <c r="I76" s="35"/>
      <c r="J76" s="34" t="str">
        <f aca="false">IF(H76="","",H76*IF(I76="",1,I76))</f>
        <v/>
      </c>
      <c r="K76" s="35"/>
      <c r="L76" s="35"/>
      <c r="M76" s="35"/>
      <c r="N76" s="35"/>
      <c r="O76" s="35"/>
      <c r="P76" s="36"/>
      <c r="Q76" s="36"/>
      <c r="R76" s="35"/>
      <c r="S76" s="35"/>
      <c r="T76" s="35"/>
      <c r="U76" s="35"/>
      <c r="V76" s="36"/>
      <c r="W76" s="36"/>
      <c r="X76" s="35"/>
      <c r="Y76" s="35"/>
      <c r="Z76" s="36"/>
      <c r="AA76" s="37"/>
      <c r="AB76" s="38" t="str">
        <f aca="false">IF(OR(AA76="",J76=""),"",AA76*J76)</f>
        <v/>
      </c>
      <c r="AC76" s="35"/>
      <c r="AD76" s="35"/>
      <c r="AE76" s="36"/>
      <c r="AF76" s="34" t="str">
        <f aca="true">IF(OR(D76="",R76="Cancelled"),"",IF(H76="","NO QTY",IF(AND(L76="Buy",E76=""),"NO PART NO",IF(AND(W76&lt;&gt;"",NOT(OR(R76="Received",R76="NSW Purchased")),W76&lt;TODAY()),"OVERDUE",IF(AND(W76&lt;&gt;"",Q76&lt;&gt;"",W76&gt;Q76),"LATE vs REQ",IF(AND(R76="Finalized – Not Purchased",T76=""),"NEED PR",IF(AND(Y76&lt;&gt;"",Y76&lt;J76),"SHORT","")))))))</f>
        <v/>
      </c>
      <c r="AG76" s="35"/>
    </row>
    <row r="77" customFormat="false" ht="15" hidden="false" customHeight="false" outlineLevel="0" collapsed="false">
      <c r="A77" s="34" t="str">
        <f aca="false">IF(B77="","",LEFT(B77,3)&amp;"-"&amp;TEXT(COUNTIF(B$11:B77,B77),"00"))</f>
        <v/>
      </c>
      <c r="B77" s="35"/>
      <c r="C77" s="35"/>
      <c r="D77" s="35"/>
      <c r="E77" s="35"/>
      <c r="F77" s="35"/>
      <c r="G77" s="35"/>
      <c r="H77" s="35"/>
      <c r="I77" s="35"/>
      <c r="J77" s="34" t="str">
        <f aca="false">IF(H77="","",H77*IF(I77="",1,I77))</f>
        <v/>
      </c>
      <c r="K77" s="35"/>
      <c r="L77" s="35"/>
      <c r="M77" s="35"/>
      <c r="N77" s="35"/>
      <c r="O77" s="35"/>
      <c r="P77" s="36"/>
      <c r="Q77" s="36"/>
      <c r="R77" s="35"/>
      <c r="S77" s="35"/>
      <c r="T77" s="35"/>
      <c r="U77" s="35"/>
      <c r="V77" s="36"/>
      <c r="W77" s="36"/>
      <c r="X77" s="35"/>
      <c r="Y77" s="35"/>
      <c r="Z77" s="36"/>
      <c r="AA77" s="37"/>
      <c r="AB77" s="38" t="str">
        <f aca="false">IF(OR(AA77="",J77=""),"",AA77*J77)</f>
        <v/>
      </c>
      <c r="AC77" s="35"/>
      <c r="AD77" s="35"/>
      <c r="AE77" s="36"/>
      <c r="AF77" s="34" t="str">
        <f aca="true">IF(OR(D77="",R77="Cancelled"),"",IF(H77="","NO QTY",IF(AND(L77="Buy",E77=""),"NO PART NO",IF(AND(W77&lt;&gt;"",NOT(OR(R77="Received",R77="NSW Purchased")),W77&lt;TODAY()),"OVERDUE",IF(AND(W77&lt;&gt;"",Q77&lt;&gt;"",W77&gt;Q77),"LATE vs REQ",IF(AND(R77="Finalized – Not Purchased",T77=""),"NEED PR",IF(AND(Y77&lt;&gt;"",Y77&lt;J77),"SHORT","")))))))</f>
        <v/>
      </c>
      <c r="AG77" s="35"/>
    </row>
    <row r="78" customFormat="false" ht="15" hidden="false" customHeight="false" outlineLevel="0" collapsed="false">
      <c r="A78" s="34" t="str">
        <f aca="false">IF(B78="","",LEFT(B78,3)&amp;"-"&amp;TEXT(COUNTIF(B$11:B78,B78),"00"))</f>
        <v/>
      </c>
      <c r="B78" s="35"/>
      <c r="C78" s="35"/>
      <c r="D78" s="35"/>
      <c r="E78" s="35"/>
      <c r="F78" s="35"/>
      <c r="G78" s="35"/>
      <c r="H78" s="35"/>
      <c r="I78" s="35"/>
      <c r="J78" s="34" t="str">
        <f aca="false">IF(H78="","",H78*IF(I78="",1,I78))</f>
        <v/>
      </c>
      <c r="K78" s="35"/>
      <c r="L78" s="35"/>
      <c r="M78" s="35"/>
      <c r="N78" s="35"/>
      <c r="O78" s="35"/>
      <c r="P78" s="36"/>
      <c r="Q78" s="36"/>
      <c r="R78" s="35"/>
      <c r="S78" s="35"/>
      <c r="T78" s="35"/>
      <c r="U78" s="35"/>
      <c r="V78" s="36"/>
      <c r="W78" s="36"/>
      <c r="X78" s="35"/>
      <c r="Y78" s="35"/>
      <c r="Z78" s="36"/>
      <c r="AA78" s="37"/>
      <c r="AB78" s="38" t="str">
        <f aca="false">IF(OR(AA78="",J78=""),"",AA78*J78)</f>
        <v/>
      </c>
      <c r="AC78" s="35"/>
      <c r="AD78" s="35"/>
      <c r="AE78" s="36"/>
      <c r="AF78" s="34" t="str">
        <f aca="true">IF(OR(D78="",R78="Cancelled"),"",IF(H78="","NO QTY",IF(AND(L78="Buy",E78=""),"NO PART NO",IF(AND(W78&lt;&gt;"",NOT(OR(R78="Received",R78="NSW Purchased")),W78&lt;TODAY()),"OVERDUE",IF(AND(W78&lt;&gt;"",Q78&lt;&gt;"",W78&gt;Q78),"LATE vs REQ",IF(AND(R78="Finalized – Not Purchased",T78=""),"NEED PR",IF(AND(Y78&lt;&gt;"",Y78&lt;J78),"SHORT","")))))))</f>
        <v/>
      </c>
      <c r="AG78" s="35"/>
    </row>
    <row r="79" customFormat="false" ht="15" hidden="false" customHeight="false" outlineLevel="0" collapsed="false">
      <c r="A79" s="34" t="str">
        <f aca="false">IF(B79="","",LEFT(B79,3)&amp;"-"&amp;TEXT(COUNTIF(B$11:B79,B79),"00"))</f>
        <v/>
      </c>
      <c r="B79" s="35"/>
      <c r="C79" s="35"/>
      <c r="D79" s="35"/>
      <c r="E79" s="35"/>
      <c r="F79" s="35"/>
      <c r="G79" s="35"/>
      <c r="H79" s="35"/>
      <c r="I79" s="35"/>
      <c r="J79" s="34" t="str">
        <f aca="false">IF(H79="","",H79*IF(I79="",1,I79))</f>
        <v/>
      </c>
      <c r="K79" s="35"/>
      <c r="L79" s="35"/>
      <c r="M79" s="35"/>
      <c r="N79" s="35"/>
      <c r="O79" s="35"/>
      <c r="P79" s="36"/>
      <c r="Q79" s="36"/>
      <c r="R79" s="35"/>
      <c r="S79" s="35"/>
      <c r="T79" s="35"/>
      <c r="U79" s="35"/>
      <c r="V79" s="36"/>
      <c r="W79" s="36"/>
      <c r="X79" s="35"/>
      <c r="Y79" s="35"/>
      <c r="Z79" s="36"/>
      <c r="AA79" s="37"/>
      <c r="AB79" s="38" t="str">
        <f aca="false">IF(OR(AA79="",J79=""),"",AA79*J79)</f>
        <v/>
      </c>
      <c r="AC79" s="35"/>
      <c r="AD79" s="35"/>
      <c r="AE79" s="36"/>
      <c r="AF79" s="34" t="str">
        <f aca="true">IF(OR(D79="",R79="Cancelled"),"",IF(H79="","NO QTY",IF(AND(L79="Buy",E79=""),"NO PART NO",IF(AND(W79&lt;&gt;"",NOT(OR(R79="Received",R79="NSW Purchased")),W79&lt;TODAY()),"OVERDUE",IF(AND(W79&lt;&gt;"",Q79&lt;&gt;"",W79&gt;Q79),"LATE vs REQ",IF(AND(R79="Finalized – Not Purchased",T79=""),"NEED PR",IF(AND(Y79&lt;&gt;"",Y79&lt;J79),"SHORT","")))))))</f>
        <v/>
      </c>
      <c r="AG79" s="35"/>
    </row>
    <row r="80" customFormat="false" ht="15" hidden="false" customHeight="false" outlineLevel="0" collapsed="false">
      <c r="A80" s="34" t="str">
        <f aca="false">IF(B80="","",LEFT(B80,3)&amp;"-"&amp;TEXT(COUNTIF(B$11:B80,B80),"00"))</f>
        <v/>
      </c>
      <c r="B80" s="35"/>
      <c r="C80" s="35"/>
      <c r="D80" s="35"/>
      <c r="E80" s="35"/>
      <c r="F80" s="35"/>
      <c r="G80" s="35"/>
      <c r="H80" s="35"/>
      <c r="I80" s="35"/>
      <c r="J80" s="34" t="str">
        <f aca="false">IF(H80="","",H80*IF(I80="",1,I80))</f>
        <v/>
      </c>
      <c r="K80" s="35"/>
      <c r="L80" s="35"/>
      <c r="M80" s="35"/>
      <c r="N80" s="35"/>
      <c r="O80" s="35"/>
      <c r="P80" s="36"/>
      <c r="Q80" s="36"/>
      <c r="R80" s="35"/>
      <c r="S80" s="35"/>
      <c r="T80" s="35"/>
      <c r="U80" s="35"/>
      <c r="V80" s="36"/>
      <c r="W80" s="36"/>
      <c r="X80" s="35"/>
      <c r="Y80" s="35"/>
      <c r="Z80" s="36"/>
      <c r="AA80" s="37"/>
      <c r="AB80" s="38" t="str">
        <f aca="false">IF(OR(AA80="",J80=""),"",AA80*J80)</f>
        <v/>
      </c>
      <c r="AC80" s="35"/>
      <c r="AD80" s="35"/>
      <c r="AE80" s="36"/>
      <c r="AF80" s="34" t="str">
        <f aca="true">IF(OR(D80="",R80="Cancelled"),"",IF(H80="","NO QTY",IF(AND(L80="Buy",E80=""),"NO PART NO",IF(AND(W80&lt;&gt;"",NOT(OR(R80="Received",R80="NSW Purchased")),W80&lt;TODAY()),"OVERDUE",IF(AND(W80&lt;&gt;"",Q80&lt;&gt;"",W80&gt;Q80),"LATE vs REQ",IF(AND(R80="Finalized – Not Purchased",T80=""),"NEED PR",IF(AND(Y80&lt;&gt;"",Y80&lt;J80),"SHORT","")))))))</f>
        <v/>
      </c>
      <c r="AG80" s="35"/>
    </row>
    <row r="81" customFormat="false" ht="15" hidden="false" customHeight="false" outlineLevel="0" collapsed="false">
      <c r="A81" s="34" t="str">
        <f aca="false">IF(B81="","",LEFT(B81,3)&amp;"-"&amp;TEXT(COUNTIF(B$11:B81,B81),"00"))</f>
        <v/>
      </c>
      <c r="B81" s="35"/>
      <c r="C81" s="35"/>
      <c r="D81" s="35"/>
      <c r="E81" s="35"/>
      <c r="F81" s="35"/>
      <c r="G81" s="35"/>
      <c r="H81" s="35"/>
      <c r="I81" s="35"/>
      <c r="J81" s="34" t="str">
        <f aca="false">IF(H81="","",H81*IF(I81="",1,I81))</f>
        <v/>
      </c>
      <c r="K81" s="35"/>
      <c r="L81" s="35"/>
      <c r="M81" s="35"/>
      <c r="N81" s="35"/>
      <c r="O81" s="35"/>
      <c r="P81" s="36"/>
      <c r="Q81" s="36"/>
      <c r="R81" s="35"/>
      <c r="S81" s="35"/>
      <c r="T81" s="35"/>
      <c r="U81" s="35"/>
      <c r="V81" s="36"/>
      <c r="W81" s="36"/>
      <c r="X81" s="35"/>
      <c r="Y81" s="35"/>
      <c r="Z81" s="36"/>
      <c r="AA81" s="37"/>
      <c r="AB81" s="38" t="str">
        <f aca="false">IF(OR(AA81="",J81=""),"",AA81*J81)</f>
        <v/>
      </c>
      <c r="AC81" s="35"/>
      <c r="AD81" s="35"/>
      <c r="AE81" s="36"/>
      <c r="AF81" s="34" t="str">
        <f aca="true">IF(OR(D81="",R81="Cancelled"),"",IF(H81="","NO QTY",IF(AND(L81="Buy",E81=""),"NO PART NO",IF(AND(W81&lt;&gt;"",NOT(OR(R81="Received",R81="NSW Purchased")),W81&lt;TODAY()),"OVERDUE",IF(AND(W81&lt;&gt;"",Q81&lt;&gt;"",W81&gt;Q81),"LATE vs REQ",IF(AND(R81="Finalized – Not Purchased",T81=""),"NEED PR",IF(AND(Y81&lt;&gt;"",Y81&lt;J81),"SHORT","")))))))</f>
        <v/>
      </c>
      <c r="AG81" s="35"/>
    </row>
    <row r="82" customFormat="false" ht="15" hidden="false" customHeight="false" outlineLevel="0" collapsed="false">
      <c r="A82" s="34" t="str">
        <f aca="false">IF(B82="","",LEFT(B82,3)&amp;"-"&amp;TEXT(COUNTIF(B$11:B82,B82),"00"))</f>
        <v/>
      </c>
      <c r="B82" s="35"/>
      <c r="C82" s="35"/>
      <c r="D82" s="35"/>
      <c r="E82" s="35"/>
      <c r="F82" s="35"/>
      <c r="G82" s="35"/>
      <c r="H82" s="35"/>
      <c r="I82" s="35"/>
      <c r="J82" s="34" t="str">
        <f aca="false">IF(H82="","",H82*IF(I82="",1,I82))</f>
        <v/>
      </c>
      <c r="K82" s="35"/>
      <c r="L82" s="35"/>
      <c r="M82" s="35"/>
      <c r="N82" s="35"/>
      <c r="O82" s="35"/>
      <c r="P82" s="36"/>
      <c r="Q82" s="36"/>
      <c r="R82" s="35"/>
      <c r="S82" s="35"/>
      <c r="T82" s="35"/>
      <c r="U82" s="35"/>
      <c r="V82" s="36"/>
      <c r="W82" s="36"/>
      <c r="X82" s="35"/>
      <c r="Y82" s="35"/>
      <c r="Z82" s="36"/>
      <c r="AA82" s="37"/>
      <c r="AB82" s="38" t="str">
        <f aca="false">IF(OR(AA82="",J82=""),"",AA82*J82)</f>
        <v/>
      </c>
      <c r="AC82" s="35"/>
      <c r="AD82" s="35"/>
      <c r="AE82" s="36"/>
      <c r="AF82" s="34" t="str">
        <f aca="true">IF(OR(D82="",R82="Cancelled"),"",IF(H82="","NO QTY",IF(AND(L82="Buy",E82=""),"NO PART NO",IF(AND(W82&lt;&gt;"",NOT(OR(R82="Received",R82="NSW Purchased")),W82&lt;TODAY()),"OVERDUE",IF(AND(W82&lt;&gt;"",Q82&lt;&gt;"",W82&gt;Q82),"LATE vs REQ",IF(AND(R82="Finalized – Not Purchased",T82=""),"NEED PR",IF(AND(Y82&lt;&gt;"",Y82&lt;J82),"SHORT","")))))))</f>
        <v/>
      </c>
      <c r="AG82" s="35"/>
    </row>
    <row r="83" customFormat="false" ht="15" hidden="false" customHeight="false" outlineLevel="0" collapsed="false">
      <c r="A83" s="34" t="str">
        <f aca="false">IF(B83="","",LEFT(B83,3)&amp;"-"&amp;TEXT(COUNTIF(B$11:B83,B83),"00"))</f>
        <v/>
      </c>
      <c r="B83" s="35"/>
      <c r="C83" s="35"/>
      <c r="D83" s="35"/>
      <c r="E83" s="35"/>
      <c r="F83" s="35"/>
      <c r="G83" s="35"/>
      <c r="H83" s="35"/>
      <c r="I83" s="35"/>
      <c r="J83" s="34" t="str">
        <f aca="false">IF(H83="","",H83*IF(I83="",1,I83))</f>
        <v/>
      </c>
      <c r="K83" s="35"/>
      <c r="L83" s="35"/>
      <c r="M83" s="35"/>
      <c r="N83" s="35"/>
      <c r="O83" s="35"/>
      <c r="P83" s="36"/>
      <c r="Q83" s="36"/>
      <c r="R83" s="35"/>
      <c r="S83" s="35"/>
      <c r="T83" s="35"/>
      <c r="U83" s="35"/>
      <c r="V83" s="36"/>
      <c r="W83" s="36"/>
      <c r="X83" s="35"/>
      <c r="Y83" s="35"/>
      <c r="Z83" s="36"/>
      <c r="AA83" s="37"/>
      <c r="AB83" s="38" t="str">
        <f aca="false">IF(OR(AA83="",J83=""),"",AA83*J83)</f>
        <v/>
      </c>
      <c r="AC83" s="35"/>
      <c r="AD83" s="35"/>
      <c r="AE83" s="36"/>
      <c r="AF83" s="34" t="str">
        <f aca="true">IF(OR(D83="",R83="Cancelled"),"",IF(H83="","NO QTY",IF(AND(L83="Buy",E83=""),"NO PART NO",IF(AND(W83&lt;&gt;"",NOT(OR(R83="Received",R83="NSW Purchased")),W83&lt;TODAY()),"OVERDUE",IF(AND(W83&lt;&gt;"",Q83&lt;&gt;"",W83&gt;Q83),"LATE vs REQ",IF(AND(R83="Finalized – Not Purchased",T83=""),"NEED PR",IF(AND(Y83&lt;&gt;"",Y83&lt;J83),"SHORT","")))))))</f>
        <v/>
      </c>
      <c r="AG83" s="35"/>
    </row>
    <row r="84" customFormat="false" ht="15" hidden="false" customHeight="false" outlineLevel="0" collapsed="false">
      <c r="A84" s="34" t="str">
        <f aca="false">IF(B84="","",LEFT(B84,3)&amp;"-"&amp;TEXT(COUNTIF(B$11:B84,B84),"00"))</f>
        <v/>
      </c>
      <c r="B84" s="35"/>
      <c r="C84" s="35"/>
      <c r="D84" s="35"/>
      <c r="E84" s="35"/>
      <c r="F84" s="35"/>
      <c r="G84" s="35"/>
      <c r="H84" s="35"/>
      <c r="I84" s="35"/>
      <c r="J84" s="34" t="str">
        <f aca="false">IF(H84="","",H84*IF(I84="",1,I84))</f>
        <v/>
      </c>
      <c r="K84" s="35"/>
      <c r="L84" s="35"/>
      <c r="M84" s="35"/>
      <c r="N84" s="35"/>
      <c r="O84" s="35"/>
      <c r="P84" s="36"/>
      <c r="Q84" s="36"/>
      <c r="R84" s="35"/>
      <c r="S84" s="35"/>
      <c r="T84" s="35"/>
      <c r="U84" s="35"/>
      <c r="V84" s="36"/>
      <c r="W84" s="36"/>
      <c r="X84" s="35"/>
      <c r="Y84" s="35"/>
      <c r="Z84" s="36"/>
      <c r="AA84" s="37"/>
      <c r="AB84" s="38" t="str">
        <f aca="false">IF(OR(AA84="",J84=""),"",AA84*J84)</f>
        <v/>
      </c>
      <c r="AC84" s="35"/>
      <c r="AD84" s="35"/>
      <c r="AE84" s="36"/>
      <c r="AF84" s="34" t="str">
        <f aca="true">IF(OR(D84="",R84="Cancelled"),"",IF(H84="","NO QTY",IF(AND(L84="Buy",E84=""),"NO PART NO",IF(AND(W84&lt;&gt;"",NOT(OR(R84="Received",R84="NSW Purchased")),W84&lt;TODAY()),"OVERDUE",IF(AND(W84&lt;&gt;"",Q84&lt;&gt;"",W84&gt;Q84),"LATE vs REQ",IF(AND(R84="Finalized – Not Purchased",T84=""),"NEED PR",IF(AND(Y84&lt;&gt;"",Y84&lt;J84),"SHORT","")))))))</f>
        <v/>
      </c>
      <c r="AG84" s="35"/>
    </row>
    <row r="85" customFormat="false" ht="15" hidden="false" customHeight="false" outlineLevel="0" collapsed="false">
      <c r="A85" s="34" t="str">
        <f aca="false">IF(B85="","",LEFT(B85,3)&amp;"-"&amp;TEXT(COUNTIF(B$11:B85,B85),"00"))</f>
        <v/>
      </c>
      <c r="B85" s="35"/>
      <c r="C85" s="35"/>
      <c r="D85" s="35"/>
      <c r="E85" s="35"/>
      <c r="F85" s="35"/>
      <c r="G85" s="35"/>
      <c r="H85" s="35"/>
      <c r="I85" s="35"/>
      <c r="J85" s="34" t="str">
        <f aca="false">IF(H85="","",H85*IF(I85="",1,I85))</f>
        <v/>
      </c>
      <c r="K85" s="35"/>
      <c r="L85" s="35"/>
      <c r="M85" s="35"/>
      <c r="N85" s="35"/>
      <c r="O85" s="35"/>
      <c r="P85" s="36"/>
      <c r="Q85" s="36"/>
      <c r="R85" s="35"/>
      <c r="S85" s="35"/>
      <c r="T85" s="35"/>
      <c r="U85" s="35"/>
      <c r="V85" s="36"/>
      <c r="W85" s="36"/>
      <c r="X85" s="35"/>
      <c r="Y85" s="35"/>
      <c r="Z85" s="36"/>
      <c r="AA85" s="37"/>
      <c r="AB85" s="38" t="str">
        <f aca="false">IF(OR(AA85="",J85=""),"",AA85*J85)</f>
        <v/>
      </c>
      <c r="AC85" s="35"/>
      <c r="AD85" s="35"/>
      <c r="AE85" s="36"/>
      <c r="AF85" s="34" t="str">
        <f aca="true">IF(OR(D85="",R85="Cancelled"),"",IF(H85="","NO QTY",IF(AND(L85="Buy",E85=""),"NO PART NO",IF(AND(W85&lt;&gt;"",NOT(OR(R85="Received",R85="NSW Purchased")),W85&lt;TODAY()),"OVERDUE",IF(AND(W85&lt;&gt;"",Q85&lt;&gt;"",W85&gt;Q85),"LATE vs REQ",IF(AND(R85="Finalized – Not Purchased",T85=""),"NEED PR",IF(AND(Y85&lt;&gt;"",Y85&lt;J85),"SHORT","")))))))</f>
        <v/>
      </c>
      <c r="AG85" s="35"/>
    </row>
    <row r="86" customFormat="false" ht="15" hidden="false" customHeight="false" outlineLevel="0" collapsed="false">
      <c r="A86" s="34" t="str">
        <f aca="false">IF(B86="","",LEFT(B86,3)&amp;"-"&amp;TEXT(COUNTIF(B$11:B86,B86),"00"))</f>
        <v/>
      </c>
      <c r="B86" s="35"/>
      <c r="C86" s="35"/>
      <c r="D86" s="35"/>
      <c r="E86" s="35"/>
      <c r="F86" s="35"/>
      <c r="G86" s="35"/>
      <c r="H86" s="35"/>
      <c r="I86" s="35"/>
      <c r="J86" s="34" t="str">
        <f aca="false">IF(H86="","",H86*IF(I86="",1,I86))</f>
        <v/>
      </c>
      <c r="K86" s="35"/>
      <c r="L86" s="35"/>
      <c r="M86" s="35"/>
      <c r="N86" s="35"/>
      <c r="O86" s="35"/>
      <c r="P86" s="36"/>
      <c r="Q86" s="36"/>
      <c r="R86" s="35"/>
      <c r="S86" s="35"/>
      <c r="T86" s="35"/>
      <c r="U86" s="35"/>
      <c r="V86" s="36"/>
      <c r="W86" s="36"/>
      <c r="X86" s="35"/>
      <c r="Y86" s="35"/>
      <c r="Z86" s="36"/>
      <c r="AA86" s="37"/>
      <c r="AB86" s="38" t="str">
        <f aca="false">IF(OR(AA86="",J86=""),"",AA86*J86)</f>
        <v/>
      </c>
      <c r="AC86" s="35"/>
      <c r="AD86" s="35"/>
      <c r="AE86" s="36"/>
      <c r="AF86" s="34" t="str">
        <f aca="true">IF(OR(D86="",R86="Cancelled"),"",IF(H86="","NO QTY",IF(AND(L86="Buy",E86=""),"NO PART NO",IF(AND(W86&lt;&gt;"",NOT(OR(R86="Received",R86="NSW Purchased")),W86&lt;TODAY()),"OVERDUE",IF(AND(W86&lt;&gt;"",Q86&lt;&gt;"",W86&gt;Q86),"LATE vs REQ",IF(AND(R86="Finalized – Not Purchased",T86=""),"NEED PR",IF(AND(Y86&lt;&gt;"",Y86&lt;J86),"SHORT","")))))))</f>
        <v/>
      </c>
      <c r="AG86" s="35"/>
    </row>
    <row r="87" customFormat="false" ht="15" hidden="false" customHeight="false" outlineLevel="0" collapsed="false">
      <c r="A87" s="34" t="str">
        <f aca="false">IF(B87="","",LEFT(B87,3)&amp;"-"&amp;TEXT(COUNTIF(B$11:B87,B87),"00"))</f>
        <v/>
      </c>
      <c r="B87" s="35"/>
      <c r="C87" s="35"/>
      <c r="D87" s="35"/>
      <c r="E87" s="35"/>
      <c r="F87" s="35"/>
      <c r="G87" s="35"/>
      <c r="H87" s="35"/>
      <c r="I87" s="35"/>
      <c r="J87" s="34" t="str">
        <f aca="false">IF(H87="","",H87*IF(I87="",1,I87))</f>
        <v/>
      </c>
      <c r="K87" s="35"/>
      <c r="L87" s="35"/>
      <c r="M87" s="35"/>
      <c r="N87" s="35"/>
      <c r="O87" s="35"/>
      <c r="P87" s="36"/>
      <c r="Q87" s="36"/>
      <c r="R87" s="35"/>
      <c r="S87" s="35"/>
      <c r="T87" s="35"/>
      <c r="U87" s="35"/>
      <c r="V87" s="36"/>
      <c r="W87" s="36"/>
      <c r="X87" s="35"/>
      <c r="Y87" s="35"/>
      <c r="Z87" s="36"/>
      <c r="AA87" s="37"/>
      <c r="AB87" s="38" t="str">
        <f aca="false">IF(OR(AA87="",J87=""),"",AA87*J87)</f>
        <v/>
      </c>
      <c r="AC87" s="35"/>
      <c r="AD87" s="35"/>
      <c r="AE87" s="36"/>
      <c r="AF87" s="34" t="str">
        <f aca="true">IF(OR(D87="",R87="Cancelled"),"",IF(H87="","NO QTY",IF(AND(L87="Buy",E87=""),"NO PART NO",IF(AND(W87&lt;&gt;"",NOT(OR(R87="Received",R87="NSW Purchased")),W87&lt;TODAY()),"OVERDUE",IF(AND(W87&lt;&gt;"",Q87&lt;&gt;"",W87&gt;Q87),"LATE vs REQ",IF(AND(R87="Finalized – Not Purchased",T87=""),"NEED PR",IF(AND(Y87&lt;&gt;"",Y87&lt;J87),"SHORT","")))))))</f>
        <v/>
      </c>
      <c r="AG87" s="35"/>
    </row>
    <row r="88" customFormat="false" ht="15" hidden="false" customHeight="false" outlineLevel="0" collapsed="false">
      <c r="A88" s="34" t="str">
        <f aca="false">IF(B88="","",LEFT(B88,3)&amp;"-"&amp;TEXT(COUNTIF(B$11:B88,B88),"00"))</f>
        <v/>
      </c>
      <c r="B88" s="35"/>
      <c r="C88" s="35"/>
      <c r="D88" s="35"/>
      <c r="E88" s="35"/>
      <c r="F88" s="35"/>
      <c r="G88" s="35"/>
      <c r="H88" s="35"/>
      <c r="I88" s="35"/>
      <c r="J88" s="34" t="str">
        <f aca="false">IF(H88="","",H88*IF(I88="",1,I88))</f>
        <v/>
      </c>
      <c r="K88" s="35"/>
      <c r="L88" s="35"/>
      <c r="M88" s="35"/>
      <c r="N88" s="35"/>
      <c r="O88" s="35"/>
      <c r="P88" s="36"/>
      <c r="Q88" s="36"/>
      <c r="R88" s="35"/>
      <c r="S88" s="35"/>
      <c r="T88" s="35"/>
      <c r="U88" s="35"/>
      <c r="V88" s="36"/>
      <c r="W88" s="36"/>
      <c r="X88" s="35"/>
      <c r="Y88" s="35"/>
      <c r="Z88" s="36"/>
      <c r="AA88" s="37"/>
      <c r="AB88" s="38" t="str">
        <f aca="false">IF(OR(AA88="",J88=""),"",AA88*J88)</f>
        <v/>
      </c>
      <c r="AC88" s="35"/>
      <c r="AD88" s="35"/>
      <c r="AE88" s="36"/>
      <c r="AF88" s="34" t="str">
        <f aca="true">IF(OR(D88="",R88="Cancelled"),"",IF(H88="","NO QTY",IF(AND(L88="Buy",E88=""),"NO PART NO",IF(AND(W88&lt;&gt;"",NOT(OR(R88="Received",R88="NSW Purchased")),W88&lt;TODAY()),"OVERDUE",IF(AND(W88&lt;&gt;"",Q88&lt;&gt;"",W88&gt;Q88),"LATE vs REQ",IF(AND(R88="Finalized – Not Purchased",T88=""),"NEED PR",IF(AND(Y88&lt;&gt;"",Y88&lt;J88),"SHORT","")))))))</f>
        <v/>
      </c>
      <c r="AG88" s="35"/>
    </row>
    <row r="89" customFormat="false" ht="15" hidden="false" customHeight="false" outlineLevel="0" collapsed="false">
      <c r="A89" s="34" t="str">
        <f aca="false">IF(B89="","",LEFT(B89,3)&amp;"-"&amp;TEXT(COUNTIF(B$11:B89,B89),"00"))</f>
        <v/>
      </c>
      <c r="B89" s="35"/>
      <c r="C89" s="35"/>
      <c r="D89" s="35"/>
      <c r="E89" s="35"/>
      <c r="F89" s="35"/>
      <c r="G89" s="35"/>
      <c r="H89" s="35"/>
      <c r="I89" s="35"/>
      <c r="J89" s="34" t="str">
        <f aca="false">IF(H89="","",H89*IF(I89="",1,I89))</f>
        <v/>
      </c>
      <c r="K89" s="35"/>
      <c r="L89" s="35"/>
      <c r="M89" s="35"/>
      <c r="N89" s="35"/>
      <c r="O89" s="35"/>
      <c r="P89" s="36"/>
      <c r="Q89" s="36"/>
      <c r="R89" s="35"/>
      <c r="S89" s="35"/>
      <c r="T89" s="35"/>
      <c r="U89" s="35"/>
      <c r="V89" s="36"/>
      <c r="W89" s="36"/>
      <c r="X89" s="35"/>
      <c r="Y89" s="35"/>
      <c r="Z89" s="36"/>
      <c r="AA89" s="37"/>
      <c r="AB89" s="38" t="str">
        <f aca="false">IF(OR(AA89="",J89=""),"",AA89*J89)</f>
        <v/>
      </c>
      <c r="AC89" s="35"/>
      <c r="AD89" s="35"/>
      <c r="AE89" s="36"/>
      <c r="AF89" s="34" t="str">
        <f aca="true">IF(OR(D89="",R89="Cancelled"),"",IF(H89="","NO QTY",IF(AND(L89="Buy",E89=""),"NO PART NO",IF(AND(W89&lt;&gt;"",NOT(OR(R89="Received",R89="NSW Purchased")),W89&lt;TODAY()),"OVERDUE",IF(AND(W89&lt;&gt;"",Q89&lt;&gt;"",W89&gt;Q89),"LATE vs REQ",IF(AND(R89="Finalized – Not Purchased",T89=""),"NEED PR",IF(AND(Y89&lt;&gt;"",Y89&lt;J89),"SHORT","")))))))</f>
        <v/>
      </c>
      <c r="AG89" s="35"/>
    </row>
    <row r="90" customFormat="false" ht="15" hidden="false" customHeight="false" outlineLevel="0" collapsed="false">
      <c r="A90" s="34" t="str">
        <f aca="false">IF(B90="","",LEFT(B90,3)&amp;"-"&amp;TEXT(COUNTIF(B$11:B90,B90),"00"))</f>
        <v/>
      </c>
      <c r="B90" s="35"/>
      <c r="C90" s="35"/>
      <c r="D90" s="35"/>
      <c r="E90" s="35"/>
      <c r="F90" s="35"/>
      <c r="G90" s="35"/>
      <c r="H90" s="35"/>
      <c r="I90" s="35"/>
      <c r="J90" s="34" t="str">
        <f aca="false">IF(H90="","",H90*IF(I90="",1,I90))</f>
        <v/>
      </c>
      <c r="K90" s="35"/>
      <c r="L90" s="35"/>
      <c r="M90" s="35"/>
      <c r="N90" s="35"/>
      <c r="O90" s="35"/>
      <c r="P90" s="36"/>
      <c r="Q90" s="36"/>
      <c r="R90" s="35"/>
      <c r="S90" s="35"/>
      <c r="T90" s="35"/>
      <c r="U90" s="35"/>
      <c r="V90" s="36"/>
      <c r="W90" s="36"/>
      <c r="X90" s="35"/>
      <c r="Y90" s="35"/>
      <c r="Z90" s="36"/>
      <c r="AA90" s="37"/>
      <c r="AB90" s="38" t="str">
        <f aca="false">IF(OR(AA90="",J90=""),"",AA90*J90)</f>
        <v/>
      </c>
      <c r="AC90" s="35"/>
      <c r="AD90" s="35"/>
      <c r="AE90" s="36"/>
      <c r="AF90" s="34" t="str">
        <f aca="true">IF(OR(D90="",R90="Cancelled"),"",IF(H90="","NO QTY",IF(AND(L90="Buy",E90=""),"NO PART NO",IF(AND(W90&lt;&gt;"",NOT(OR(R90="Received",R90="NSW Purchased")),W90&lt;TODAY()),"OVERDUE",IF(AND(W90&lt;&gt;"",Q90&lt;&gt;"",W90&gt;Q90),"LATE vs REQ",IF(AND(R90="Finalized – Not Purchased",T90=""),"NEED PR",IF(AND(Y90&lt;&gt;"",Y90&lt;J90),"SHORT","")))))))</f>
        <v/>
      </c>
      <c r="AG90" s="35"/>
    </row>
    <row r="91" customFormat="false" ht="15" hidden="false" customHeight="false" outlineLevel="0" collapsed="false">
      <c r="A91" s="34" t="str">
        <f aca="false">IF(B91="","",LEFT(B91,3)&amp;"-"&amp;TEXT(COUNTIF(B$11:B91,B91),"00"))</f>
        <v/>
      </c>
      <c r="B91" s="35"/>
      <c r="C91" s="35"/>
      <c r="D91" s="35"/>
      <c r="E91" s="35"/>
      <c r="F91" s="35"/>
      <c r="G91" s="35"/>
      <c r="H91" s="35"/>
      <c r="I91" s="35"/>
      <c r="J91" s="34" t="str">
        <f aca="false">IF(H91="","",H91*IF(I91="",1,I91))</f>
        <v/>
      </c>
      <c r="K91" s="35"/>
      <c r="L91" s="35"/>
      <c r="M91" s="35"/>
      <c r="N91" s="35"/>
      <c r="O91" s="35"/>
      <c r="P91" s="36"/>
      <c r="Q91" s="36"/>
      <c r="R91" s="35"/>
      <c r="S91" s="35"/>
      <c r="T91" s="35"/>
      <c r="U91" s="35"/>
      <c r="V91" s="36"/>
      <c r="W91" s="36"/>
      <c r="X91" s="35"/>
      <c r="Y91" s="35"/>
      <c r="Z91" s="36"/>
      <c r="AA91" s="37"/>
      <c r="AB91" s="38" t="str">
        <f aca="false">IF(OR(AA91="",J91=""),"",AA91*J91)</f>
        <v/>
      </c>
      <c r="AC91" s="35"/>
      <c r="AD91" s="35"/>
      <c r="AE91" s="36"/>
      <c r="AF91" s="34" t="str">
        <f aca="true">IF(OR(D91="",R91="Cancelled"),"",IF(H91="","NO QTY",IF(AND(L91="Buy",E91=""),"NO PART NO",IF(AND(W91&lt;&gt;"",NOT(OR(R91="Received",R91="NSW Purchased")),W91&lt;TODAY()),"OVERDUE",IF(AND(W91&lt;&gt;"",Q91&lt;&gt;"",W91&gt;Q91),"LATE vs REQ",IF(AND(R91="Finalized – Not Purchased",T91=""),"NEED PR",IF(AND(Y91&lt;&gt;"",Y91&lt;J91),"SHORT","")))))))</f>
        <v/>
      </c>
      <c r="AG91" s="35"/>
    </row>
    <row r="92" customFormat="false" ht="15" hidden="false" customHeight="false" outlineLevel="0" collapsed="false">
      <c r="A92" s="34" t="str">
        <f aca="false">IF(B92="","",LEFT(B92,3)&amp;"-"&amp;TEXT(COUNTIF(B$11:B92,B92),"00"))</f>
        <v/>
      </c>
      <c r="B92" s="35"/>
      <c r="C92" s="35"/>
      <c r="D92" s="35"/>
      <c r="E92" s="35"/>
      <c r="F92" s="35"/>
      <c r="G92" s="35"/>
      <c r="H92" s="35"/>
      <c r="I92" s="35"/>
      <c r="J92" s="34" t="str">
        <f aca="false">IF(H92="","",H92*IF(I92="",1,I92))</f>
        <v/>
      </c>
      <c r="K92" s="35"/>
      <c r="L92" s="35"/>
      <c r="M92" s="35"/>
      <c r="N92" s="35"/>
      <c r="O92" s="35"/>
      <c r="P92" s="36"/>
      <c r="Q92" s="36"/>
      <c r="R92" s="35"/>
      <c r="S92" s="35"/>
      <c r="T92" s="35"/>
      <c r="U92" s="35"/>
      <c r="V92" s="36"/>
      <c r="W92" s="36"/>
      <c r="X92" s="35"/>
      <c r="Y92" s="35"/>
      <c r="Z92" s="36"/>
      <c r="AA92" s="37"/>
      <c r="AB92" s="38" t="str">
        <f aca="false">IF(OR(AA92="",J92=""),"",AA92*J92)</f>
        <v/>
      </c>
      <c r="AC92" s="35"/>
      <c r="AD92" s="35"/>
      <c r="AE92" s="36"/>
      <c r="AF92" s="34" t="str">
        <f aca="true">IF(OR(D92="",R92="Cancelled"),"",IF(H92="","NO QTY",IF(AND(L92="Buy",E92=""),"NO PART NO",IF(AND(W92&lt;&gt;"",NOT(OR(R92="Received",R92="NSW Purchased")),W92&lt;TODAY()),"OVERDUE",IF(AND(W92&lt;&gt;"",Q92&lt;&gt;"",W92&gt;Q92),"LATE vs REQ",IF(AND(R92="Finalized – Not Purchased",T92=""),"NEED PR",IF(AND(Y92&lt;&gt;"",Y92&lt;J92),"SHORT","")))))))</f>
        <v/>
      </c>
      <c r="AG92" s="35"/>
    </row>
    <row r="93" customFormat="false" ht="15" hidden="false" customHeight="false" outlineLevel="0" collapsed="false">
      <c r="A93" s="34" t="str">
        <f aca="false">IF(B93="","",LEFT(B93,3)&amp;"-"&amp;TEXT(COUNTIF(B$11:B93,B93),"00"))</f>
        <v/>
      </c>
      <c r="B93" s="35"/>
      <c r="C93" s="35"/>
      <c r="D93" s="35"/>
      <c r="E93" s="35"/>
      <c r="F93" s="35"/>
      <c r="G93" s="35"/>
      <c r="H93" s="35"/>
      <c r="I93" s="35"/>
      <c r="J93" s="34" t="str">
        <f aca="false">IF(H93="","",H93*IF(I93="",1,I93))</f>
        <v/>
      </c>
      <c r="K93" s="35"/>
      <c r="L93" s="35"/>
      <c r="M93" s="35"/>
      <c r="N93" s="35"/>
      <c r="O93" s="35"/>
      <c r="P93" s="36"/>
      <c r="Q93" s="36"/>
      <c r="R93" s="35"/>
      <c r="S93" s="35"/>
      <c r="T93" s="35"/>
      <c r="U93" s="35"/>
      <c r="V93" s="36"/>
      <c r="W93" s="36"/>
      <c r="X93" s="35"/>
      <c r="Y93" s="35"/>
      <c r="Z93" s="36"/>
      <c r="AA93" s="37"/>
      <c r="AB93" s="38" t="str">
        <f aca="false">IF(OR(AA93="",J93=""),"",AA93*J93)</f>
        <v/>
      </c>
      <c r="AC93" s="35"/>
      <c r="AD93" s="35"/>
      <c r="AE93" s="36"/>
      <c r="AF93" s="34" t="str">
        <f aca="true">IF(OR(D93="",R93="Cancelled"),"",IF(H93="","NO QTY",IF(AND(L93="Buy",E93=""),"NO PART NO",IF(AND(W93&lt;&gt;"",NOT(OR(R93="Received",R93="NSW Purchased")),W93&lt;TODAY()),"OVERDUE",IF(AND(W93&lt;&gt;"",Q93&lt;&gt;"",W93&gt;Q93),"LATE vs REQ",IF(AND(R93="Finalized – Not Purchased",T93=""),"NEED PR",IF(AND(Y93&lt;&gt;"",Y93&lt;J93),"SHORT","")))))))</f>
        <v/>
      </c>
      <c r="AG93" s="35"/>
    </row>
    <row r="94" customFormat="false" ht="15" hidden="false" customHeight="false" outlineLevel="0" collapsed="false">
      <c r="A94" s="34" t="str">
        <f aca="false">IF(B94="","",LEFT(B94,3)&amp;"-"&amp;TEXT(COUNTIF(B$11:B94,B94),"00"))</f>
        <v/>
      </c>
      <c r="B94" s="35"/>
      <c r="C94" s="35"/>
      <c r="D94" s="35"/>
      <c r="E94" s="35"/>
      <c r="F94" s="35"/>
      <c r="G94" s="35"/>
      <c r="H94" s="35"/>
      <c r="I94" s="35"/>
      <c r="J94" s="34" t="str">
        <f aca="false">IF(H94="","",H94*IF(I94="",1,I94))</f>
        <v/>
      </c>
      <c r="K94" s="35"/>
      <c r="L94" s="35"/>
      <c r="M94" s="35"/>
      <c r="N94" s="35"/>
      <c r="O94" s="35"/>
      <c r="P94" s="36"/>
      <c r="Q94" s="36"/>
      <c r="R94" s="35"/>
      <c r="S94" s="35"/>
      <c r="T94" s="35"/>
      <c r="U94" s="35"/>
      <c r="V94" s="36"/>
      <c r="W94" s="36"/>
      <c r="X94" s="35"/>
      <c r="Y94" s="35"/>
      <c r="Z94" s="36"/>
      <c r="AA94" s="37"/>
      <c r="AB94" s="38" t="str">
        <f aca="false">IF(OR(AA94="",J94=""),"",AA94*J94)</f>
        <v/>
      </c>
      <c r="AC94" s="35"/>
      <c r="AD94" s="35"/>
      <c r="AE94" s="36"/>
      <c r="AF94" s="34" t="str">
        <f aca="true">IF(OR(D94="",R94="Cancelled"),"",IF(H94="","NO QTY",IF(AND(L94="Buy",E94=""),"NO PART NO",IF(AND(W94&lt;&gt;"",NOT(OR(R94="Received",R94="NSW Purchased")),W94&lt;TODAY()),"OVERDUE",IF(AND(W94&lt;&gt;"",Q94&lt;&gt;"",W94&gt;Q94),"LATE vs REQ",IF(AND(R94="Finalized – Not Purchased",T94=""),"NEED PR",IF(AND(Y94&lt;&gt;"",Y94&lt;J94),"SHORT","")))))))</f>
        <v/>
      </c>
      <c r="AG94" s="35"/>
    </row>
    <row r="95" customFormat="false" ht="15" hidden="false" customHeight="false" outlineLevel="0" collapsed="false">
      <c r="A95" s="34" t="str">
        <f aca="false">IF(B95="","",LEFT(B95,3)&amp;"-"&amp;TEXT(COUNTIF(B$11:B95,B95),"00"))</f>
        <v/>
      </c>
      <c r="B95" s="35"/>
      <c r="C95" s="35"/>
      <c r="D95" s="35"/>
      <c r="E95" s="35"/>
      <c r="F95" s="35"/>
      <c r="G95" s="35"/>
      <c r="H95" s="35"/>
      <c r="I95" s="35"/>
      <c r="J95" s="34" t="str">
        <f aca="false">IF(H95="","",H95*IF(I95="",1,I95))</f>
        <v/>
      </c>
      <c r="K95" s="35"/>
      <c r="L95" s="35"/>
      <c r="M95" s="35"/>
      <c r="N95" s="35"/>
      <c r="O95" s="35"/>
      <c r="P95" s="36"/>
      <c r="Q95" s="36"/>
      <c r="R95" s="35"/>
      <c r="S95" s="35"/>
      <c r="T95" s="35"/>
      <c r="U95" s="35"/>
      <c r="V95" s="36"/>
      <c r="W95" s="36"/>
      <c r="X95" s="35"/>
      <c r="Y95" s="35"/>
      <c r="Z95" s="36"/>
      <c r="AA95" s="37"/>
      <c r="AB95" s="38" t="str">
        <f aca="false">IF(OR(AA95="",J95=""),"",AA95*J95)</f>
        <v/>
      </c>
      <c r="AC95" s="35"/>
      <c r="AD95" s="35"/>
      <c r="AE95" s="36"/>
      <c r="AF95" s="34" t="str">
        <f aca="true">IF(OR(D95="",R95="Cancelled"),"",IF(H95="","NO QTY",IF(AND(L95="Buy",E95=""),"NO PART NO",IF(AND(W95&lt;&gt;"",NOT(OR(R95="Received",R95="NSW Purchased")),W95&lt;TODAY()),"OVERDUE",IF(AND(W95&lt;&gt;"",Q95&lt;&gt;"",W95&gt;Q95),"LATE vs REQ",IF(AND(R95="Finalized – Not Purchased",T95=""),"NEED PR",IF(AND(Y95&lt;&gt;"",Y95&lt;J95),"SHORT","")))))))</f>
        <v/>
      </c>
      <c r="AG95" s="35"/>
    </row>
    <row r="96" customFormat="false" ht="15" hidden="false" customHeight="false" outlineLevel="0" collapsed="false">
      <c r="A96" s="34" t="str">
        <f aca="false">IF(B96="","",LEFT(B96,3)&amp;"-"&amp;TEXT(COUNTIF(B$11:B96,B96),"00"))</f>
        <v/>
      </c>
      <c r="B96" s="35"/>
      <c r="C96" s="35"/>
      <c r="D96" s="35"/>
      <c r="E96" s="35"/>
      <c r="F96" s="35"/>
      <c r="G96" s="35"/>
      <c r="H96" s="35"/>
      <c r="I96" s="35"/>
      <c r="J96" s="34" t="str">
        <f aca="false">IF(H96="","",H96*IF(I96="",1,I96))</f>
        <v/>
      </c>
      <c r="K96" s="35"/>
      <c r="L96" s="35"/>
      <c r="M96" s="35"/>
      <c r="N96" s="35"/>
      <c r="O96" s="35"/>
      <c r="P96" s="36"/>
      <c r="Q96" s="36"/>
      <c r="R96" s="35"/>
      <c r="S96" s="35"/>
      <c r="T96" s="35"/>
      <c r="U96" s="35"/>
      <c r="V96" s="36"/>
      <c r="W96" s="36"/>
      <c r="X96" s="35"/>
      <c r="Y96" s="35"/>
      <c r="Z96" s="36"/>
      <c r="AA96" s="37"/>
      <c r="AB96" s="38" t="str">
        <f aca="false">IF(OR(AA96="",J96=""),"",AA96*J96)</f>
        <v/>
      </c>
      <c r="AC96" s="35"/>
      <c r="AD96" s="35"/>
      <c r="AE96" s="36"/>
      <c r="AF96" s="34" t="str">
        <f aca="true">IF(OR(D96="",R96="Cancelled"),"",IF(H96="","NO QTY",IF(AND(L96="Buy",E96=""),"NO PART NO",IF(AND(W96&lt;&gt;"",NOT(OR(R96="Received",R96="NSW Purchased")),W96&lt;TODAY()),"OVERDUE",IF(AND(W96&lt;&gt;"",Q96&lt;&gt;"",W96&gt;Q96),"LATE vs REQ",IF(AND(R96="Finalized – Not Purchased",T96=""),"NEED PR",IF(AND(Y96&lt;&gt;"",Y96&lt;J96),"SHORT","")))))))</f>
        <v/>
      </c>
      <c r="AG96" s="35"/>
    </row>
    <row r="97" customFormat="false" ht="15" hidden="false" customHeight="false" outlineLevel="0" collapsed="false">
      <c r="A97" s="34" t="str">
        <f aca="false">IF(B97="","",LEFT(B97,3)&amp;"-"&amp;TEXT(COUNTIF(B$11:B97,B97),"00"))</f>
        <v/>
      </c>
      <c r="B97" s="35"/>
      <c r="C97" s="35"/>
      <c r="D97" s="35"/>
      <c r="E97" s="35"/>
      <c r="F97" s="35"/>
      <c r="G97" s="35"/>
      <c r="H97" s="35"/>
      <c r="I97" s="35"/>
      <c r="J97" s="34" t="str">
        <f aca="false">IF(H97="","",H97*IF(I97="",1,I97))</f>
        <v/>
      </c>
      <c r="K97" s="35"/>
      <c r="L97" s="35"/>
      <c r="M97" s="35"/>
      <c r="N97" s="35"/>
      <c r="O97" s="35"/>
      <c r="P97" s="36"/>
      <c r="Q97" s="36"/>
      <c r="R97" s="35"/>
      <c r="S97" s="35"/>
      <c r="T97" s="35"/>
      <c r="U97" s="35"/>
      <c r="V97" s="36"/>
      <c r="W97" s="36"/>
      <c r="X97" s="35"/>
      <c r="Y97" s="35"/>
      <c r="Z97" s="36"/>
      <c r="AA97" s="37"/>
      <c r="AB97" s="38" t="str">
        <f aca="false">IF(OR(AA97="",J97=""),"",AA97*J97)</f>
        <v/>
      </c>
      <c r="AC97" s="35"/>
      <c r="AD97" s="35"/>
      <c r="AE97" s="36"/>
      <c r="AF97" s="34" t="str">
        <f aca="true">IF(OR(D97="",R97="Cancelled"),"",IF(H97="","NO QTY",IF(AND(L97="Buy",E97=""),"NO PART NO",IF(AND(W97&lt;&gt;"",NOT(OR(R97="Received",R97="NSW Purchased")),W97&lt;TODAY()),"OVERDUE",IF(AND(W97&lt;&gt;"",Q97&lt;&gt;"",W97&gt;Q97),"LATE vs REQ",IF(AND(R97="Finalized – Not Purchased",T97=""),"NEED PR",IF(AND(Y97&lt;&gt;"",Y97&lt;J97),"SHORT","")))))))</f>
        <v/>
      </c>
      <c r="AG97" s="35"/>
    </row>
    <row r="98" customFormat="false" ht="15" hidden="false" customHeight="false" outlineLevel="0" collapsed="false">
      <c r="A98" s="34" t="str">
        <f aca="false">IF(B98="","",LEFT(B98,3)&amp;"-"&amp;TEXT(COUNTIF(B$11:B98,B98),"00"))</f>
        <v/>
      </c>
      <c r="B98" s="35"/>
      <c r="C98" s="35"/>
      <c r="D98" s="35"/>
      <c r="E98" s="35"/>
      <c r="F98" s="35"/>
      <c r="G98" s="35"/>
      <c r="H98" s="35"/>
      <c r="I98" s="35"/>
      <c r="J98" s="34" t="str">
        <f aca="false">IF(H98="","",H98*IF(I98="",1,I98))</f>
        <v/>
      </c>
      <c r="K98" s="35"/>
      <c r="L98" s="35"/>
      <c r="M98" s="35"/>
      <c r="N98" s="35"/>
      <c r="O98" s="35"/>
      <c r="P98" s="36"/>
      <c r="Q98" s="36"/>
      <c r="R98" s="35"/>
      <c r="S98" s="35"/>
      <c r="T98" s="35"/>
      <c r="U98" s="35"/>
      <c r="V98" s="36"/>
      <c r="W98" s="36"/>
      <c r="X98" s="35"/>
      <c r="Y98" s="35"/>
      <c r="Z98" s="36"/>
      <c r="AA98" s="37"/>
      <c r="AB98" s="38" t="str">
        <f aca="false">IF(OR(AA98="",J98=""),"",AA98*J98)</f>
        <v/>
      </c>
      <c r="AC98" s="35"/>
      <c r="AD98" s="35"/>
      <c r="AE98" s="36"/>
      <c r="AF98" s="34" t="str">
        <f aca="true">IF(OR(D98="",R98="Cancelled"),"",IF(H98="","NO QTY",IF(AND(L98="Buy",E98=""),"NO PART NO",IF(AND(W98&lt;&gt;"",NOT(OR(R98="Received",R98="NSW Purchased")),W98&lt;TODAY()),"OVERDUE",IF(AND(W98&lt;&gt;"",Q98&lt;&gt;"",W98&gt;Q98),"LATE vs REQ",IF(AND(R98="Finalized – Not Purchased",T98=""),"NEED PR",IF(AND(Y98&lt;&gt;"",Y98&lt;J98),"SHORT","")))))))</f>
        <v/>
      </c>
      <c r="AG98" s="35"/>
    </row>
    <row r="99" customFormat="false" ht="15" hidden="false" customHeight="false" outlineLevel="0" collapsed="false">
      <c r="A99" s="34" t="str">
        <f aca="false">IF(B99="","",LEFT(B99,3)&amp;"-"&amp;TEXT(COUNTIF(B$11:B99,B99),"00"))</f>
        <v/>
      </c>
      <c r="B99" s="35"/>
      <c r="C99" s="35"/>
      <c r="D99" s="35"/>
      <c r="E99" s="35"/>
      <c r="F99" s="35"/>
      <c r="G99" s="35"/>
      <c r="H99" s="35"/>
      <c r="I99" s="35"/>
      <c r="J99" s="34" t="str">
        <f aca="false">IF(H99="","",H99*IF(I99="",1,I99))</f>
        <v/>
      </c>
      <c r="K99" s="35"/>
      <c r="L99" s="35"/>
      <c r="M99" s="35"/>
      <c r="N99" s="35"/>
      <c r="O99" s="35"/>
      <c r="P99" s="36"/>
      <c r="Q99" s="36"/>
      <c r="R99" s="35"/>
      <c r="S99" s="35"/>
      <c r="T99" s="35"/>
      <c r="U99" s="35"/>
      <c r="V99" s="36"/>
      <c r="W99" s="36"/>
      <c r="X99" s="35"/>
      <c r="Y99" s="35"/>
      <c r="Z99" s="36"/>
      <c r="AA99" s="37"/>
      <c r="AB99" s="38" t="str">
        <f aca="false">IF(OR(AA99="",J99=""),"",AA99*J99)</f>
        <v/>
      </c>
      <c r="AC99" s="35"/>
      <c r="AD99" s="35"/>
      <c r="AE99" s="36"/>
      <c r="AF99" s="34" t="str">
        <f aca="true">IF(OR(D99="",R99="Cancelled"),"",IF(H99="","NO QTY",IF(AND(L99="Buy",E99=""),"NO PART NO",IF(AND(W99&lt;&gt;"",NOT(OR(R99="Received",R99="NSW Purchased")),W99&lt;TODAY()),"OVERDUE",IF(AND(W99&lt;&gt;"",Q99&lt;&gt;"",W99&gt;Q99),"LATE vs REQ",IF(AND(R99="Finalized – Not Purchased",T99=""),"NEED PR",IF(AND(Y99&lt;&gt;"",Y99&lt;J99),"SHORT","")))))))</f>
        <v/>
      </c>
      <c r="AG99" s="35"/>
    </row>
    <row r="100" customFormat="false" ht="15" hidden="false" customHeight="false" outlineLevel="0" collapsed="false">
      <c r="A100" s="34" t="str">
        <f aca="false">IF(B100="","",LEFT(B100,3)&amp;"-"&amp;TEXT(COUNTIF(B$11:B100,B100),"00"))</f>
        <v/>
      </c>
      <c r="B100" s="35"/>
      <c r="C100" s="35"/>
      <c r="D100" s="35"/>
      <c r="E100" s="35"/>
      <c r="F100" s="35"/>
      <c r="G100" s="35"/>
      <c r="H100" s="35"/>
      <c r="I100" s="35"/>
      <c r="J100" s="34" t="str">
        <f aca="false">IF(H100="","",H100*IF(I100="",1,I100))</f>
        <v/>
      </c>
      <c r="K100" s="35"/>
      <c r="L100" s="35"/>
      <c r="M100" s="35"/>
      <c r="N100" s="35"/>
      <c r="O100" s="35"/>
      <c r="P100" s="36"/>
      <c r="Q100" s="36"/>
      <c r="R100" s="35"/>
      <c r="S100" s="35"/>
      <c r="T100" s="35"/>
      <c r="U100" s="35"/>
      <c r="V100" s="36"/>
      <c r="W100" s="36"/>
      <c r="X100" s="35"/>
      <c r="Y100" s="35"/>
      <c r="Z100" s="36"/>
      <c r="AA100" s="37"/>
      <c r="AB100" s="38" t="str">
        <f aca="false">IF(OR(AA100="",J100=""),"",AA100*J100)</f>
        <v/>
      </c>
      <c r="AC100" s="35"/>
      <c r="AD100" s="35"/>
      <c r="AE100" s="36"/>
      <c r="AF100" s="34" t="str">
        <f aca="true">IF(OR(D100="",R100="Cancelled"),"",IF(H100="","NO QTY",IF(AND(L100="Buy",E100=""),"NO PART NO",IF(AND(W100&lt;&gt;"",NOT(OR(R100="Received",R100="NSW Purchased")),W100&lt;TODAY()),"OVERDUE",IF(AND(W100&lt;&gt;"",Q100&lt;&gt;"",W100&gt;Q100),"LATE vs REQ",IF(AND(R100="Finalized – Not Purchased",T100=""),"NEED PR",IF(AND(Y100&lt;&gt;"",Y100&lt;J100),"SHORT","")))))))</f>
        <v/>
      </c>
      <c r="AG100" s="35"/>
    </row>
    <row r="101" customFormat="false" ht="15" hidden="false" customHeight="false" outlineLevel="0" collapsed="false">
      <c r="A101" s="34" t="str">
        <f aca="false">IF(B101="","",LEFT(B101,3)&amp;"-"&amp;TEXT(COUNTIF(B$11:B101,B101),"00"))</f>
        <v/>
      </c>
      <c r="B101" s="35"/>
      <c r="C101" s="35"/>
      <c r="D101" s="35"/>
      <c r="E101" s="35"/>
      <c r="F101" s="35"/>
      <c r="G101" s="35"/>
      <c r="H101" s="35"/>
      <c r="I101" s="35"/>
      <c r="J101" s="34" t="str">
        <f aca="false">IF(H101="","",H101*IF(I101="",1,I101))</f>
        <v/>
      </c>
      <c r="K101" s="35"/>
      <c r="L101" s="35"/>
      <c r="M101" s="35"/>
      <c r="N101" s="35"/>
      <c r="O101" s="35"/>
      <c r="P101" s="36"/>
      <c r="Q101" s="36"/>
      <c r="R101" s="35"/>
      <c r="S101" s="35"/>
      <c r="T101" s="35"/>
      <c r="U101" s="35"/>
      <c r="V101" s="36"/>
      <c r="W101" s="36"/>
      <c r="X101" s="35"/>
      <c r="Y101" s="35"/>
      <c r="Z101" s="36"/>
      <c r="AA101" s="37"/>
      <c r="AB101" s="38" t="str">
        <f aca="false">IF(OR(AA101="",J101=""),"",AA101*J101)</f>
        <v/>
      </c>
      <c r="AC101" s="35"/>
      <c r="AD101" s="35"/>
      <c r="AE101" s="36"/>
      <c r="AF101" s="34" t="str">
        <f aca="true">IF(OR(D101="",R101="Cancelled"),"",IF(H101="","NO QTY",IF(AND(L101="Buy",E101=""),"NO PART NO",IF(AND(W101&lt;&gt;"",NOT(OR(R101="Received",R101="NSW Purchased")),W101&lt;TODAY()),"OVERDUE",IF(AND(W101&lt;&gt;"",Q101&lt;&gt;"",W101&gt;Q101),"LATE vs REQ",IF(AND(R101="Finalized – Not Purchased",T101=""),"NEED PR",IF(AND(Y101&lt;&gt;"",Y101&lt;J101),"SHORT","")))))))</f>
        <v/>
      </c>
      <c r="AG101" s="35"/>
    </row>
    <row r="102" customFormat="false" ht="15" hidden="false" customHeight="false" outlineLevel="0" collapsed="false">
      <c r="A102" s="34" t="str">
        <f aca="false">IF(B102="","",LEFT(B102,3)&amp;"-"&amp;TEXT(COUNTIF(B$11:B102,B102),"00"))</f>
        <v/>
      </c>
      <c r="B102" s="35"/>
      <c r="C102" s="35"/>
      <c r="D102" s="35"/>
      <c r="E102" s="35"/>
      <c r="F102" s="35"/>
      <c r="G102" s="35"/>
      <c r="H102" s="35"/>
      <c r="I102" s="35"/>
      <c r="J102" s="34" t="str">
        <f aca="false">IF(H102="","",H102*IF(I102="",1,I102))</f>
        <v/>
      </c>
      <c r="K102" s="35"/>
      <c r="L102" s="35"/>
      <c r="M102" s="35"/>
      <c r="N102" s="35"/>
      <c r="O102" s="35"/>
      <c r="P102" s="36"/>
      <c r="Q102" s="36"/>
      <c r="R102" s="35"/>
      <c r="S102" s="35"/>
      <c r="T102" s="35"/>
      <c r="U102" s="35"/>
      <c r="V102" s="36"/>
      <c r="W102" s="36"/>
      <c r="X102" s="35"/>
      <c r="Y102" s="35"/>
      <c r="Z102" s="36"/>
      <c r="AA102" s="37"/>
      <c r="AB102" s="38" t="str">
        <f aca="false">IF(OR(AA102="",J102=""),"",AA102*J102)</f>
        <v/>
      </c>
      <c r="AC102" s="35"/>
      <c r="AD102" s="35"/>
      <c r="AE102" s="36"/>
      <c r="AF102" s="34" t="str">
        <f aca="true">IF(OR(D102="",R102="Cancelled"),"",IF(H102="","NO QTY",IF(AND(L102="Buy",E102=""),"NO PART NO",IF(AND(W102&lt;&gt;"",NOT(OR(R102="Received",R102="NSW Purchased")),W102&lt;TODAY()),"OVERDUE",IF(AND(W102&lt;&gt;"",Q102&lt;&gt;"",W102&gt;Q102),"LATE vs REQ",IF(AND(R102="Finalized – Not Purchased",T102=""),"NEED PR",IF(AND(Y102&lt;&gt;"",Y102&lt;J102),"SHORT","")))))))</f>
        <v/>
      </c>
      <c r="AG102" s="35"/>
    </row>
    <row r="103" customFormat="false" ht="15" hidden="false" customHeight="false" outlineLevel="0" collapsed="false">
      <c r="A103" s="34" t="str">
        <f aca="false">IF(B103="","",LEFT(B103,3)&amp;"-"&amp;TEXT(COUNTIF(B$11:B103,B103),"00"))</f>
        <v/>
      </c>
      <c r="B103" s="35"/>
      <c r="C103" s="35"/>
      <c r="D103" s="35"/>
      <c r="E103" s="35"/>
      <c r="F103" s="35"/>
      <c r="G103" s="35"/>
      <c r="H103" s="35"/>
      <c r="I103" s="35"/>
      <c r="J103" s="34" t="str">
        <f aca="false">IF(H103="","",H103*IF(I103="",1,I103))</f>
        <v/>
      </c>
      <c r="K103" s="35"/>
      <c r="L103" s="35"/>
      <c r="M103" s="35"/>
      <c r="N103" s="35"/>
      <c r="O103" s="35"/>
      <c r="P103" s="36"/>
      <c r="Q103" s="36"/>
      <c r="R103" s="35"/>
      <c r="S103" s="35"/>
      <c r="T103" s="35"/>
      <c r="U103" s="35"/>
      <c r="V103" s="36"/>
      <c r="W103" s="36"/>
      <c r="X103" s="35"/>
      <c r="Y103" s="35"/>
      <c r="Z103" s="36"/>
      <c r="AA103" s="37"/>
      <c r="AB103" s="38" t="str">
        <f aca="false">IF(OR(AA103="",J103=""),"",AA103*J103)</f>
        <v/>
      </c>
      <c r="AC103" s="35"/>
      <c r="AD103" s="35"/>
      <c r="AE103" s="36"/>
      <c r="AF103" s="34" t="str">
        <f aca="true">IF(OR(D103="",R103="Cancelled"),"",IF(H103="","NO QTY",IF(AND(L103="Buy",E103=""),"NO PART NO",IF(AND(W103&lt;&gt;"",NOT(OR(R103="Received",R103="NSW Purchased")),W103&lt;TODAY()),"OVERDUE",IF(AND(W103&lt;&gt;"",Q103&lt;&gt;"",W103&gt;Q103),"LATE vs REQ",IF(AND(R103="Finalized – Not Purchased",T103=""),"NEED PR",IF(AND(Y103&lt;&gt;"",Y103&lt;J103),"SHORT","")))))))</f>
        <v/>
      </c>
      <c r="AG103" s="35"/>
    </row>
    <row r="104" customFormat="false" ht="15" hidden="false" customHeight="false" outlineLevel="0" collapsed="false">
      <c r="A104" s="34" t="str">
        <f aca="false">IF(B104="","",LEFT(B104,3)&amp;"-"&amp;TEXT(COUNTIF(B$11:B104,B104),"00"))</f>
        <v/>
      </c>
      <c r="B104" s="35"/>
      <c r="C104" s="35"/>
      <c r="D104" s="35"/>
      <c r="E104" s="35"/>
      <c r="F104" s="35"/>
      <c r="G104" s="35"/>
      <c r="H104" s="35"/>
      <c r="I104" s="35"/>
      <c r="J104" s="34" t="str">
        <f aca="false">IF(H104="","",H104*IF(I104="",1,I104))</f>
        <v/>
      </c>
      <c r="K104" s="35"/>
      <c r="L104" s="35"/>
      <c r="M104" s="35"/>
      <c r="N104" s="35"/>
      <c r="O104" s="35"/>
      <c r="P104" s="36"/>
      <c r="Q104" s="36"/>
      <c r="R104" s="35"/>
      <c r="S104" s="35"/>
      <c r="T104" s="35"/>
      <c r="U104" s="35"/>
      <c r="V104" s="36"/>
      <c r="W104" s="36"/>
      <c r="X104" s="35"/>
      <c r="Y104" s="35"/>
      <c r="Z104" s="36"/>
      <c r="AA104" s="37"/>
      <c r="AB104" s="38" t="str">
        <f aca="false">IF(OR(AA104="",J104=""),"",AA104*J104)</f>
        <v/>
      </c>
      <c r="AC104" s="35"/>
      <c r="AD104" s="35"/>
      <c r="AE104" s="36"/>
      <c r="AF104" s="34" t="str">
        <f aca="true">IF(OR(D104="",R104="Cancelled"),"",IF(H104="","NO QTY",IF(AND(L104="Buy",E104=""),"NO PART NO",IF(AND(W104&lt;&gt;"",NOT(OR(R104="Received",R104="NSW Purchased")),W104&lt;TODAY()),"OVERDUE",IF(AND(W104&lt;&gt;"",Q104&lt;&gt;"",W104&gt;Q104),"LATE vs REQ",IF(AND(R104="Finalized – Not Purchased",T104=""),"NEED PR",IF(AND(Y104&lt;&gt;"",Y104&lt;J104),"SHORT","")))))))</f>
        <v/>
      </c>
      <c r="AG104" s="35"/>
    </row>
    <row r="105" customFormat="false" ht="15" hidden="false" customHeight="false" outlineLevel="0" collapsed="false">
      <c r="A105" s="34" t="str">
        <f aca="false">IF(B105="","",LEFT(B105,3)&amp;"-"&amp;TEXT(COUNTIF(B$11:B105,B105),"00"))</f>
        <v/>
      </c>
      <c r="B105" s="35"/>
      <c r="C105" s="35"/>
      <c r="D105" s="35"/>
      <c r="E105" s="35"/>
      <c r="F105" s="35"/>
      <c r="G105" s="35"/>
      <c r="H105" s="35"/>
      <c r="I105" s="35"/>
      <c r="J105" s="34" t="str">
        <f aca="false">IF(H105="","",H105*IF(I105="",1,I105))</f>
        <v/>
      </c>
      <c r="K105" s="35"/>
      <c r="L105" s="35"/>
      <c r="M105" s="35"/>
      <c r="N105" s="35"/>
      <c r="O105" s="35"/>
      <c r="P105" s="36"/>
      <c r="Q105" s="36"/>
      <c r="R105" s="35"/>
      <c r="S105" s="35"/>
      <c r="T105" s="35"/>
      <c r="U105" s="35"/>
      <c r="V105" s="36"/>
      <c r="W105" s="36"/>
      <c r="X105" s="35"/>
      <c r="Y105" s="35"/>
      <c r="Z105" s="36"/>
      <c r="AA105" s="37"/>
      <c r="AB105" s="38" t="str">
        <f aca="false">IF(OR(AA105="",J105=""),"",AA105*J105)</f>
        <v/>
      </c>
      <c r="AC105" s="35"/>
      <c r="AD105" s="35"/>
      <c r="AE105" s="36"/>
      <c r="AF105" s="34" t="str">
        <f aca="true">IF(OR(D105="",R105="Cancelled"),"",IF(H105="","NO QTY",IF(AND(L105="Buy",E105=""),"NO PART NO",IF(AND(W105&lt;&gt;"",NOT(OR(R105="Received",R105="NSW Purchased")),W105&lt;TODAY()),"OVERDUE",IF(AND(W105&lt;&gt;"",Q105&lt;&gt;"",W105&gt;Q105),"LATE vs REQ",IF(AND(R105="Finalized – Not Purchased",T105=""),"NEED PR",IF(AND(Y105&lt;&gt;"",Y105&lt;J105),"SHORT","")))))))</f>
        <v/>
      </c>
      <c r="AG105" s="35"/>
    </row>
    <row r="106" customFormat="false" ht="15" hidden="false" customHeight="false" outlineLevel="0" collapsed="false">
      <c r="A106" s="34" t="str">
        <f aca="false">IF(B106="","",LEFT(B106,3)&amp;"-"&amp;TEXT(COUNTIF(B$11:B106,B106),"00"))</f>
        <v/>
      </c>
      <c r="B106" s="35"/>
      <c r="C106" s="35"/>
      <c r="D106" s="35"/>
      <c r="E106" s="35"/>
      <c r="F106" s="35"/>
      <c r="G106" s="35"/>
      <c r="H106" s="35"/>
      <c r="I106" s="35"/>
      <c r="J106" s="34" t="str">
        <f aca="false">IF(H106="","",H106*IF(I106="",1,I106))</f>
        <v/>
      </c>
      <c r="K106" s="35"/>
      <c r="L106" s="35"/>
      <c r="M106" s="35"/>
      <c r="N106" s="35"/>
      <c r="O106" s="35"/>
      <c r="P106" s="36"/>
      <c r="Q106" s="36"/>
      <c r="R106" s="35"/>
      <c r="S106" s="35"/>
      <c r="T106" s="35"/>
      <c r="U106" s="35"/>
      <c r="V106" s="36"/>
      <c r="W106" s="36"/>
      <c r="X106" s="35"/>
      <c r="Y106" s="35"/>
      <c r="Z106" s="36"/>
      <c r="AA106" s="37"/>
      <c r="AB106" s="38" t="str">
        <f aca="false">IF(OR(AA106="",J106=""),"",AA106*J106)</f>
        <v/>
      </c>
      <c r="AC106" s="35"/>
      <c r="AD106" s="35"/>
      <c r="AE106" s="36"/>
      <c r="AF106" s="34" t="str">
        <f aca="true">IF(OR(D106="",R106="Cancelled"),"",IF(H106="","NO QTY",IF(AND(L106="Buy",E106=""),"NO PART NO",IF(AND(W106&lt;&gt;"",NOT(OR(R106="Received",R106="NSW Purchased")),W106&lt;TODAY()),"OVERDUE",IF(AND(W106&lt;&gt;"",Q106&lt;&gt;"",W106&gt;Q106),"LATE vs REQ",IF(AND(R106="Finalized – Not Purchased",T106=""),"NEED PR",IF(AND(Y106&lt;&gt;"",Y106&lt;J106),"SHORT","")))))))</f>
        <v/>
      </c>
      <c r="AG106" s="35"/>
    </row>
    <row r="107" customFormat="false" ht="15" hidden="false" customHeight="false" outlineLevel="0" collapsed="false">
      <c r="A107" s="34" t="str">
        <f aca="false">IF(B107="","",LEFT(B107,3)&amp;"-"&amp;TEXT(COUNTIF(B$11:B107,B107),"00"))</f>
        <v/>
      </c>
      <c r="B107" s="35"/>
      <c r="C107" s="35"/>
      <c r="D107" s="35"/>
      <c r="E107" s="35"/>
      <c r="F107" s="35"/>
      <c r="G107" s="35"/>
      <c r="H107" s="35"/>
      <c r="I107" s="35"/>
      <c r="J107" s="34" t="str">
        <f aca="false">IF(H107="","",H107*IF(I107="",1,I107))</f>
        <v/>
      </c>
      <c r="K107" s="35"/>
      <c r="L107" s="35"/>
      <c r="M107" s="35"/>
      <c r="N107" s="35"/>
      <c r="O107" s="35"/>
      <c r="P107" s="36"/>
      <c r="Q107" s="36"/>
      <c r="R107" s="35"/>
      <c r="S107" s="35"/>
      <c r="T107" s="35"/>
      <c r="U107" s="35"/>
      <c r="V107" s="36"/>
      <c r="W107" s="36"/>
      <c r="X107" s="35"/>
      <c r="Y107" s="35"/>
      <c r="Z107" s="36"/>
      <c r="AA107" s="37"/>
      <c r="AB107" s="38" t="str">
        <f aca="false">IF(OR(AA107="",J107=""),"",AA107*J107)</f>
        <v/>
      </c>
      <c r="AC107" s="35"/>
      <c r="AD107" s="35"/>
      <c r="AE107" s="36"/>
      <c r="AF107" s="34" t="str">
        <f aca="true">IF(OR(D107="",R107="Cancelled"),"",IF(H107="","NO QTY",IF(AND(L107="Buy",E107=""),"NO PART NO",IF(AND(W107&lt;&gt;"",NOT(OR(R107="Received",R107="NSW Purchased")),W107&lt;TODAY()),"OVERDUE",IF(AND(W107&lt;&gt;"",Q107&lt;&gt;"",W107&gt;Q107),"LATE vs REQ",IF(AND(R107="Finalized – Not Purchased",T107=""),"NEED PR",IF(AND(Y107&lt;&gt;"",Y107&lt;J107),"SHORT","")))))))</f>
        <v/>
      </c>
      <c r="AG107" s="35"/>
    </row>
    <row r="108" customFormat="false" ht="15" hidden="false" customHeight="false" outlineLevel="0" collapsed="false">
      <c r="A108" s="34" t="str">
        <f aca="false">IF(B108="","",LEFT(B108,3)&amp;"-"&amp;TEXT(COUNTIF(B$11:B108,B108),"00"))</f>
        <v/>
      </c>
      <c r="B108" s="35"/>
      <c r="C108" s="35"/>
      <c r="D108" s="35"/>
      <c r="E108" s="35"/>
      <c r="F108" s="35"/>
      <c r="G108" s="35"/>
      <c r="H108" s="35"/>
      <c r="I108" s="35"/>
      <c r="J108" s="34" t="str">
        <f aca="false">IF(H108="","",H108*IF(I108="",1,I108))</f>
        <v/>
      </c>
      <c r="K108" s="35"/>
      <c r="L108" s="35"/>
      <c r="M108" s="35"/>
      <c r="N108" s="35"/>
      <c r="O108" s="35"/>
      <c r="P108" s="36"/>
      <c r="Q108" s="36"/>
      <c r="R108" s="35"/>
      <c r="S108" s="35"/>
      <c r="T108" s="35"/>
      <c r="U108" s="35"/>
      <c r="V108" s="36"/>
      <c r="W108" s="36"/>
      <c r="X108" s="35"/>
      <c r="Y108" s="35"/>
      <c r="Z108" s="36"/>
      <c r="AA108" s="37"/>
      <c r="AB108" s="38" t="str">
        <f aca="false">IF(OR(AA108="",J108=""),"",AA108*J108)</f>
        <v/>
      </c>
      <c r="AC108" s="35"/>
      <c r="AD108" s="35"/>
      <c r="AE108" s="36"/>
      <c r="AF108" s="34" t="str">
        <f aca="true">IF(OR(D108="",R108="Cancelled"),"",IF(H108="","NO QTY",IF(AND(L108="Buy",E108=""),"NO PART NO",IF(AND(W108&lt;&gt;"",NOT(OR(R108="Received",R108="NSW Purchased")),W108&lt;TODAY()),"OVERDUE",IF(AND(W108&lt;&gt;"",Q108&lt;&gt;"",W108&gt;Q108),"LATE vs REQ",IF(AND(R108="Finalized – Not Purchased",T108=""),"NEED PR",IF(AND(Y108&lt;&gt;"",Y108&lt;J108),"SHORT","")))))))</f>
        <v/>
      </c>
      <c r="AG108" s="35"/>
    </row>
    <row r="109" customFormat="false" ht="15" hidden="false" customHeight="false" outlineLevel="0" collapsed="false">
      <c r="A109" s="34" t="str">
        <f aca="false">IF(B109="","",LEFT(B109,3)&amp;"-"&amp;TEXT(COUNTIF(B$11:B109,B109),"00"))</f>
        <v/>
      </c>
      <c r="B109" s="35"/>
      <c r="C109" s="35"/>
      <c r="D109" s="35"/>
      <c r="E109" s="35"/>
      <c r="F109" s="35"/>
      <c r="G109" s="35"/>
      <c r="H109" s="35"/>
      <c r="I109" s="35"/>
      <c r="J109" s="34" t="str">
        <f aca="false">IF(H109="","",H109*IF(I109="",1,I109))</f>
        <v/>
      </c>
      <c r="K109" s="35"/>
      <c r="L109" s="35"/>
      <c r="M109" s="35"/>
      <c r="N109" s="35"/>
      <c r="O109" s="35"/>
      <c r="P109" s="36"/>
      <c r="Q109" s="36"/>
      <c r="R109" s="35"/>
      <c r="S109" s="35"/>
      <c r="T109" s="35"/>
      <c r="U109" s="35"/>
      <c r="V109" s="36"/>
      <c r="W109" s="36"/>
      <c r="X109" s="35"/>
      <c r="Y109" s="35"/>
      <c r="Z109" s="36"/>
      <c r="AA109" s="37"/>
      <c r="AB109" s="38" t="str">
        <f aca="false">IF(OR(AA109="",J109=""),"",AA109*J109)</f>
        <v/>
      </c>
      <c r="AC109" s="35"/>
      <c r="AD109" s="35"/>
      <c r="AE109" s="36"/>
      <c r="AF109" s="34" t="str">
        <f aca="true">IF(OR(D109="",R109="Cancelled"),"",IF(H109="","NO QTY",IF(AND(L109="Buy",E109=""),"NO PART NO",IF(AND(W109&lt;&gt;"",NOT(OR(R109="Received",R109="NSW Purchased")),W109&lt;TODAY()),"OVERDUE",IF(AND(W109&lt;&gt;"",Q109&lt;&gt;"",W109&gt;Q109),"LATE vs REQ",IF(AND(R109="Finalized – Not Purchased",T109=""),"NEED PR",IF(AND(Y109&lt;&gt;"",Y109&lt;J109),"SHORT","")))))))</f>
        <v/>
      </c>
      <c r="AG109" s="35"/>
    </row>
    <row r="110" customFormat="false" ht="15" hidden="false" customHeight="false" outlineLevel="0" collapsed="false">
      <c r="A110" s="34" t="str">
        <f aca="false">IF(B110="","",LEFT(B110,3)&amp;"-"&amp;TEXT(COUNTIF(B$11:B110,B110),"00"))</f>
        <v/>
      </c>
      <c r="B110" s="35"/>
      <c r="C110" s="35"/>
      <c r="D110" s="35"/>
      <c r="E110" s="35"/>
      <c r="F110" s="35"/>
      <c r="G110" s="35"/>
      <c r="H110" s="35"/>
      <c r="I110" s="35"/>
      <c r="J110" s="34" t="str">
        <f aca="false">IF(H110="","",H110*IF(I110="",1,I110))</f>
        <v/>
      </c>
      <c r="K110" s="35"/>
      <c r="L110" s="35"/>
      <c r="M110" s="35"/>
      <c r="N110" s="35"/>
      <c r="O110" s="35"/>
      <c r="P110" s="36"/>
      <c r="Q110" s="36"/>
      <c r="R110" s="35"/>
      <c r="S110" s="35"/>
      <c r="T110" s="35"/>
      <c r="U110" s="35"/>
      <c r="V110" s="36"/>
      <c r="W110" s="36"/>
      <c r="X110" s="35"/>
      <c r="Y110" s="35"/>
      <c r="Z110" s="36"/>
      <c r="AA110" s="37"/>
      <c r="AB110" s="38" t="str">
        <f aca="false">IF(OR(AA110="",J110=""),"",AA110*J110)</f>
        <v/>
      </c>
      <c r="AC110" s="35"/>
      <c r="AD110" s="35"/>
      <c r="AE110" s="36"/>
      <c r="AF110" s="34" t="str">
        <f aca="true">IF(OR(D110="",R110="Cancelled"),"",IF(H110="","NO QTY",IF(AND(L110="Buy",E110=""),"NO PART NO",IF(AND(W110&lt;&gt;"",NOT(OR(R110="Received",R110="NSW Purchased")),W110&lt;TODAY()),"OVERDUE",IF(AND(W110&lt;&gt;"",Q110&lt;&gt;"",W110&gt;Q110),"LATE vs REQ",IF(AND(R110="Finalized – Not Purchased",T110=""),"NEED PR",IF(AND(Y110&lt;&gt;"",Y110&lt;J110),"SHORT","")))))))</f>
        <v/>
      </c>
      <c r="AG110" s="35"/>
    </row>
    <row r="111" customFormat="false" ht="15" hidden="false" customHeight="false" outlineLevel="0" collapsed="false">
      <c r="A111" s="34" t="str">
        <f aca="false">IF(B111="","",LEFT(B111,3)&amp;"-"&amp;TEXT(COUNTIF(B$11:B111,B111),"00"))</f>
        <v/>
      </c>
      <c r="B111" s="35"/>
      <c r="C111" s="35"/>
      <c r="D111" s="35"/>
      <c r="E111" s="35"/>
      <c r="F111" s="35"/>
      <c r="G111" s="35"/>
      <c r="H111" s="35"/>
      <c r="I111" s="35"/>
      <c r="J111" s="34" t="str">
        <f aca="false">IF(H111="","",H111*IF(I111="",1,I111))</f>
        <v/>
      </c>
      <c r="K111" s="35"/>
      <c r="L111" s="35"/>
      <c r="M111" s="35"/>
      <c r="N111" s="35"/>
      <c r="O111" s="35"/>
      <c r="P111" s="36"/>
      <c r="Q111" s="36"/>
      <c r="R111" s="35"/>
      <c r="S111" s="35"/>
      <c r="T111" s="35"/>
      <c r="U111" s="35"/>
      <c r="V111" s="36"/>
      <c r="W111" s="36"/>
      <c r="X111" s="35"/>
      <c r="Y111" s="35"/>
      <c r="Z111" s="36"/>
      <c r="AA111" s="37"/>
      <c r="AB111" s="38" t="str">
        <f aca="false">IF(OR(AA111="",J111=""),"",AA111*J111)</f>
        <v/>
      </c>
      <c r="AC111" s="35"/>
      <c r="AD111" s="35"/>
      <c r="AE111" s="36"/>
      <c r="AF111" s="34" t="str">
        <f aca="true">IF(OR(D111="",R111="Cancelled"),"",IF(H111="","NO QTY",IF(AND(L111="Buy",E111=""),"NO PART NO",IF(AND(W111&lt;&gt;"",NOT(OR(R111="Received",R111="NSW Purchased")),W111&lt;TODAY()),"OVERDUE",IF(AND(W111&lt;&gt;"",Q111&lt;&gt;"",W111&gt;Q111),"LATE vs REQ",IF(AND(R111="Finalized – Not Purchased",T111=""),"NEED PR",IF(AND(Y111&lt;&gt;"",Y111&lt;J111),"SHORT","")))))))</f>
        <v/>
      </c>
      <c r="AG111" s="35"/>
    </row>
    <row r="112" customFormat="false" ht="15" hidden="false" customHeight="false" outlineLevel="0" collapsed="false">
      <c r="A112" s="34" t="str">
        <f aca="false">IF(B112="","",LEFT(B112,3)&amp;"-"&amp;TEXT(COUNTIF(B$11:B112,B112),"00"))</f>
        <v/>
      </c>
      <c r="B112" s="35"/>
      <c r="C112" s="35"/>
      <c r="D112" s="35"/>
      <c r="E112" s="35"/>
      <c r="F112" s="35"/>
      <c r="G112" s="35"/>
      <c r="H112" s="35"/>
      <c r="I112" s="35"/>
      <c r="J112" s="34" t="str">
        <f aca="false">IF(H112="","",H112*IF(I112="",1,I112))</f>
        <v/>
      </c>
      <c r="K112" s="35"/>
      <c r="L112" s="35"/>
      <c r="M112" s="35"/>
      <c r="N112" s="35"/>
      <c r="O112" s="35"/>
      <c r="P112" s="36"/>
      <c r="Q112" s="36"/>
      <c r="R112" s="35"/>
      <c r="S112" s="35"/>
      <c r="T112" s="35"/>
      <c r="U112" s="35"/>
      <c r="V112" s="36"/>
      <c r="W112" s="36"/>
      <c r="X112" s="35"/>
      <c r="Y112" s="35"/>
      <c r="Z112" s="36"/>
      <c r="AA112" s="37"/>
      <c r="AB112" s="38" t="str">
        <f aca="false">IF(OR(AA112="",J112=""),"",AA112*J112)</f>
        <v/>
      </c>
      <c r="AC112" s="35"/>
      <c r="AD112" s="35"/>
      <c r="AE112" s="36"/>
      <c r="AF112" s="34" t="str">
        <f aca="true">IF(OR(D112="",R112="Cancelled"),"",IF(H112="","NO QTY",IF(AND(L112="Buy",E112=""),"NO PART NO",IF(AND(W112&lt;&gt;"",NOT(OR(R112="Received",R112="NSW Purchased")),W112&lt;TODAY()),"OVERDUE",IF(AND(W112&lt;&gt;"",Q112&lt;&gt;"",W112&gt;Q112),"LATE vs REQ",IF(AND(R112="Finalized – Not Purchased",T112=""),"NEED PR",IF(AND(Y112&lt;&gt;"",Y112&lt;J112),"SHORT","")))))))</f>
        <v/>
      </c>
      <c r="AG112" s="35"/>
    </row>
    <row r="113" customFormat="false" ht="15" hidden="false" customHeight="false" outlineLevel="0" collapsed="false">
      <c r="A113" s="34" t="str">
        <f aca="false">IF(B113="","",LEFT(B113,3)&amp;"-"&amp;TEXT(COUNTIF(B$11:B113,B113),"00"))</f>
        <v/>
      </c>
      <c r="B113" s="35"/>
      <c r="C113" s="35"/>
      <c r="D113" s="35"/>
      <c r="E113" s="35"/>
      <c r="F113" s="35"/>
      <c r="G113" s="35"/>
      <c r="H113" s="35"/>
      <c r="I113" s="35"/>
      <c r="J113" s="34" t="str">
        <f aca="false">IF(H113="","",H113*IF(I113="",1,I113))</f>
        <v/>
      </c>
      <c r="K113" s="35"/>
      <c r="L113" s="35"/>
      <c r="M113" s="35"/>
      <c r="N113" s="35"/>
      <c r="O113" s="35"/>
      <c r="P113" s="36"/>
      <c r="Q113" s="36"/>
      <c r="R113" s="35"/>
      <c r="S113" s="35"/>
      <c r="T113" s="35"/>
      <c r="U113" s="35"/>
      <c r="V113" s="36"/>
      <c r="W113" s="36"/>
      <c r="X113" s="35"/>
      <c r="Y113" s="35"/>
      <c r="Z113" s="36"/>
      <c r="AA113" s="37"/>
      <c r="AB113" s="38" t="str">
        <f aca="false">IF(OR(AA113="",J113=""),"",AA113*J113)</f>
        <v/>
      </c>
      <c r="AC113" s="35"/>
      <c r="AD113" s="35"/>
      <c r="AE113" s="36"/>
      <c r="AF113" s="34" t="str">
        <f aca="true">IF(OR(D113="",R113="Cancelled"),"",IF(H113="","NO QTY",IF(AND(L113="Buy",E113=""),"NO PART NO",IF(AND(W113&lt;&gt;"",NOT(OR(R113="Received",R113="NSW Purchased")),W113&lt;TODAY()),"OVERDUE",IF(AND(W113&lt;&gt;"",Q113&lt;&gt;"",W113&gt;Q113),"LATE vs REQ",IF(AND(R113="Finalized – Not Purchased",T113=""),"NEED PR",IF(AND(Y113&lt;&gt;"",Y113&lt;J113),"SHORT","")))))))</f>
        <v/>
      </c>
      <c r="AG113" s="35"/>
    </row>
    <row r="114" customFormat="false" ht="15" hidden="false" customHeight="false" outlineLevel="0" collapsed="false">
      <c r="A114" s="34" t="str">
        <f aca="false">IF(B114="","",LEFT(B114,3)&amp;"-"&amp;TEXT(COUNTIF(B$11:B114,B114),"00"))</f>
        <v/>
      </c>
      <c r="B114" s="35"/>
      <c r="C114" s="35"/>
      <c r="D114" s="35"/>
      <c r="E114" s="35"/>
      <c r="F114" s="35"/>
      <c r="G114" s="35"/>
      <c r="H114" s="35"/>
      <c r="I114" s="35"/>
      <c r="J114" s="34" t="str">
        <f aca="false">IF(H114="","",H114*IF(I114="",1,I114))</f>
        <v/>
      </c>
      <c r="K114" s="35"/>
      <c r="L114" s="35"/>
      <c r="M114" s="35"/>
      <c r="N114" s="35"/>
      <c r="O114" s="35"/>
      <c r="P114" s="36"/>
      <c r="Q114" s="36"/>
      <c r="R114" s="35"/>
      <c r="S114" s="35"/>
      <c r="T114" s="35"/>
      <c r="U114" s="35"/>
      <c r="V114" s="36"/>
      <c r="W114" s="36"/>
      <c r="X114" s="35"/>
      <c r="Y114" s="35"/>
      <c r="Z114" s="36"/>
      <c r="AA114" s="37"/>
      <c r="AB114" s="38" t="str">
        <f aca="false">IF(OR(AA114="",J114=""),"",AA114*J114)</f>
        <v/>
      </c>
      <c r="AC114" s="35"/>
      <c r="AD114" s="35"/>
      <c r="AE114" s="36"/>
      <c r="AF114" s="34" t="str">
        <f aca="true">IF(OR(D114="",R114="Cancelled"),"",IF(H114="","NO QTY",IF(AND(L114="Buy",E114=""),"NO PART NO",IF(AND(W114&lt;&gt;"",NOT(OR(R114="Received",R114="NSW Purchased")),W114&lt;TODAY()),"OVERDUE",IF(AND(W114&lt;&gt;"",Q114&lt;&gt;"",W114&gt;Q114),"LATE vs REQ",IF(AND(R114="Finalized – Not Purchased",T114=""),"NEED PR",IF(AND(Y114&lt;&gt;"",Y114&lt;J114),"SHORT","")))))))</f>
        <v/>
      </c>
      <c r="AG114" s="35"/>
    </row>
    <row r="115" customFormat="false" ht="15" hidden="false" customHeight="false" outlineLevel="0" collapsed="false">
      <c r="A115" s="34" t="str">
        <f aca="false">IF(B115="","",LEFT(B115,3)&amp;"-"&amp;TEXT(COUNTIF(B$11:B115,B115),"00"))</f>
        <v/>
      </c>
      <c r="B115" s="35"/>
      <c r="C115" s="35"/>
      <c r="D115" s="35"/>
      <c r="E115" s="35"/>
      <c r="F115" s="35"/>
      <c r="G115" s="35"/>
      <c r="H115" s="35"/>
      <c r="I115" s="35"/>
      <c r="J115" s="34" t="str">
        <f aca="false">IF(H115="","",H115*IF(I115="",1,I115))</f>
        <v/>
      </c>
      <c r="K115" s="35"/>
      <c r="L115" s="35"/>
      <c r="M115" s="35"/>
      <c r="N115" s="35"/>
      <c r="O115" s="35"/>
      <c r="P115" s="36"/>
      <c r="Q115" s="36"/>
      <c r="R115" s="35"/>
      <c r="S115" s="35"/>
      <c r="T115" s="35"/>
      <c r="U115" s="35"/>
      <c r="V115" s="36"/>
      <c r="W115" s="36"/>
      <c r="X115" s="35"/>
      <c r="Y115" s="35"/>
      <c r="Z115" s="36"/>
      <c r="AA115" s="37"/>
      <c r="AB115" s="38" t="str">
        <f aca="false">IF(OR(AA115="",J115=""),"",AA115*J115)</f>
        <v/>
      </c>
      <c r="AC115" s="35"/>
      <c r="AD115" s="35"/>
      <c r="AE115" s="36"/>
      <c r="AF115" s="34" t="str">
        <f aca="true">IF(OR(D115="",R115="Cancelled"),"",IF(H115="","NO QTY",IF(AND(L115="Buy",E115=""),"NO PART NO",IF(AND(W115&lt;&gt;"",NOT(OR(R115="Received",R115="NSW Purchased")),W115&lt;TODAY()),"OVERDUE",IF(AND(W115&lt;&gt;"",Q115&lt;&gt;"",W115&gt;Q115),"LATE vs REQ",IF(AND(R115="Finalized – Not Purchased",T115=""),"NEED PR",IF(AND(Y115&lt;&gt;"",Y115&lt;J115),"SHORT","")))))))</f>
        <v/>
      </c>
      <c r="AG115" s="35"/>
    </row>
    <row r="116" customFormat="false" ht="15" hidden="false" customHeight="false" outlineLevel="0" collapsed="false">
      <c r="A116" s="34" t="str">
        <f aca="false">IF(B116="","",LEFT(B116,3)&amp;"-"&amp;TEXT(COUNTIF(B$11:B116,B116),"00"))</f>
        <v/>
      </c>
      <c r="B116" s="35"/>
      <c r="C116" s="35"/>
      <c r="D116" s="35"/>
      <c r="E116" s="35"/>
      <c r="F116" s="35"/>
      <c r="G116" s="35"/>
      <c r="H116" s="35"/>
      <c r="I116" s="35"/>
      <c r="J116" s="34" t="str">
        <f aca="false">IF(H116="","",H116*IF(I116="",1,I116))</f>
        <v/>
      </c>
      <c r="K116" s="35"/>
      <c r="L116" s="35"/>
      <c r="M116" s="35"/>
      <c r="N116" s="35"/>
      <c r="O116" s="35"/>
      <c r="P116" s="36"/>
      <c r="Q116" s="36"/>
      <c r="R116" s="35"/>
      <c r="S116" s="35"/>
      <c r="T116" s="35"/>
      <c r="U116" s="35"/>
      <c r="V116" s="36"/>
      <c r="W116" s="36"/>
      <c r="X116" s="35"/>
      <c r="Y116" s="35"/>
      <c r="Z116" s="36"/>
      <c r="AA116" s="37"/>
      <c r="AB116" s="38" t="str">
        <f aca="false">IF(OR(AA116="",J116=""),"",AA116*J116)</f>
        <v/>
      </c>
      <c r="AC116" s="35"/>
      <c r="AD116" s="35"/>
      <c r="AE116" s="36"/>
      <c r="AF116" s="34" t="str">
        <f aca="true">IF(OR(D116="",R116="Cancelled"),"",IF(H116="","NO QTY",IF(AND(L116="Buy",E116=""),"NO PART NO",IF(AND(W116&lt;&gt;"",NOT(OR(R116="Received",R116="NSW Purchased")),W116&lt;TODAY()),"OVERDUE",IF(AND(W116&lt;&gt;"",Q116&lt;&gt;"",W116&gt;Q116),"LATE vs REQ",IF(AND(R116="Finalized – Not Purchased",T116=""),"NEED PR",IF(AND(Y116&lt;&gt;"",Y116&lt;J116),"SHORT","")))))))</f>
        <v/>
      </c>
      <c r="AG116" s="35"/>
    </row>
    <row r="117" customFormat="false" ht="15" hidden="false" customHeight="false" outlineLevel="0" collapsed="false">
      <c r="A117" s="34" t="str">
        <f aca="false">IF(B117="","",LEFT(B117,3)&amp;"-"&amp;TEXT(COUNTIF(B$11:B117,B117),"00"))</f>
        <v/>
      </c>
      <c r="B117" s="35"/>
      <c r="C117" s="35"/>
      <c r="D117" s="35"/>
      <c r="E117" s="35"/>
      <c r="F117" s="35"/>
      <c r="G117" s="35"/>
      <c r="H117" s="35"/>
      <c r="I117" s="35"/>
      <c r="J117" s="34" t="str">
        <f aca="false">IF(H117="","",H117*IF(I117="",1,I117))</f>
        <v/>
      </c>
      <c r="K117" s="35"/>
      <c r="L117" s="35"/>
      <c r="M117" s="35"/>
      <c r="N117" s="35"/>
      <c r="O117" s="35"/>
      <c r="P117" s="36"/>
      <c r="Q117" s="36"/>
      <c r="R117" s="35"/>
      <c r="S117" s="35"/>
      <c r="T117" s="35"/>
      <c r="U117" s="35"/>
      <c r="V117" s="36"/>
      <c r="W117" s="36"/>
      <c r="X117" s="35"/>
      <c r="Y117" s="35"/>
      <c r="Z117" s="36"/>
      <c r="AA117" s="37"/>
      <c r="AB117" s="38" t="str">
        <f aca="false">IF(OR(AA117="",J117=""),"",AA117*J117)</f>
        <v/>
      </c>
      <c r="AC117" s="35"/>
      <c r="AD117" s="35"/>
      <c r="AE117" s="36"/>
      <c r="AF117" s="34" t="str">
        <f aca="true">IF(OR(D117="",R117="Cancelled"),"",IF(H117="","NO QTY",IF(AND(L117="Buy",E117=""),"NO PART NO",IF(AND(W117&lt;&gt;"",NOT(OR(R117="Received",R117="NSW Purchased")),W117&lt;TODAY()),"OVERDUE",IF(AND(W117&lt;&gt;"",Q117&lt;&gt;"",W117&gt;Q117),"LATE vs REQ",IF(AND(R117="Finalized – Not Purchased",T117=""),"NEED PR",IF(AND(Y117&lt;&gt;"",Y117&lt;J117),"SHORT","")))))))</f>
        <v/>
      </c>
      <c r="AG117" s="35"/>
    </row>
    <row r="118" customFormat="false" ht="15" hidden="false" customHeight="false" outlineLevel="0" collapsed="false">
      <c r="A118" s="34" t="str">
        <f aca="false">IF(B118="","",LEFT(B118,3)&amp;"-"&amp;TEXT(COUNTIF(B$11:B118,B118),"00"))</f>
        <v/>
      </c>
      <c r="B118" s="35"/>
      <c r="C118" s="35"/>
      <c r="D118" s="35"/>
      <c r="E118" s="35"/>
      <c r="F118" s="35"/>
      <c r="G118" s="35"/>
      <c r="H118" s="35"/>
      <c r="I118" s="35"/>
      <c r="J118" s="34" t="str">
        <f aca="false">IF(H118="","",H118*IF(I118="",1,I118))</f>
        <v/>
      </c>
      <c r="K118" s="35"/>
      <c r="L118" s="35"/>
      <c r="M118" s="35"/>
      <c r="N118" s="35"/>
      <c r="O118" s="35"/>
      <c r="P118" s="36"/>
      <c r="Q118" s="36"/>
      <c r="R118" s="35"/>
      <c r="S118" s="35"/>
      <c r="T118" s="35"/>
      <c r="U118" s="35"/>
      <c r="V118" s="36"/>
      <c r="W118" s="36"/>
      <c r="X118" s="35"/>
      <c r="Y118" s="35"/>
      <c r="Z118" s="36"/>
      <c r="AA118" s="37"/>
      <c r="AB118" s="38" t="str">
        <f aca="false">IF(OR(AA118="",J118=""),"",AA118*J118)</f>
        <v/>
      </c>
      <c r="AC118" s="35"/>
      <c r="AD118" s="35"/>
      <c r="AE118" s="36"/>
      <c r="AF118" s="34" t="str">
        <f aca="true">IF(OR(D118="",R118="Cancelled"),"",IF(H118="","NO QTY",IF(AND(L118="Buy",E118=""),"NO PART NO",IF(AND(W118&lt;&gt;"",NOT(OR(R118="Received",R118="NSW Purchased")),W118&lt;TODAY()),"OVERDUE",IF(AND(W118&lt;&gt;"",Q118&lt;&gt;"",W118&gt;Q118),"LATE vs REQ",IF(AND(R118="Finalized – Not Purchased",T118=""),"NEED PR",IF(AND(Y118&lt;&gt;"",Y118&lt;J118),"SHORT","")))))))</f>
        <v/>
      </c>
      <c r="AG118" s="35"/>
    </row>
    <row r="119" customFormat="false" ht="15" hidden="false" customHeight="false" outlineLevel="0" collapsed="false">
      <c r="A119" s="34" t="str">
        <f aca="false">IF(B119="","",LEFT(B119,3)&amp;"-"&amp;TEXT(COUNTIF(B$11:B119,B119),"00"))</f>
        <v/>
      </c>
      <c r="B119" s="35"/>
      <c r="C119" s="35"/>
      <c r="D119" s="35"/>
      <c r="E119" s="35"/>
      <c r="F119" s="35"/>
      <c r="G119" s="35"/>
      <c r="H119" s="35"/>
      <c r="I119" s="35"/>
      <c r="J119" s="34" t="str">
        <f aca="false">IF(H119="","",H119*IF(I119="",1,I119))</f>
        <v/>
      </c>
      <c r="K119" s="35"/>
      <c r="L119" s="35"/>
      <c r="M119" s="35"/>
      <c r="N119" s="35"/>
      <c r="O119" s="35"/>
      <c r="P119" s="36"/>
      <c r="Q119" s="36"/>
      <c r="R119" s="35"/>
      <c r="S119" s="35"/>
      <c r="T119" s="35"/>
      <c r="U119" s="35"/>
      <c r="V119" s="36"/>
      <c r="W119" s="36"/>
      <c r="X119" s="35"/>
      <c r="Y119" s="35"/>
      <c r="Z119" s="36"/>
      <c r="AA119" s="37"/>
      <c r="AB119" s="38" t="str">
        <f aca="false">IF(OR(AA119="",J119=""),"",AA119*J119)</f>
        <v/>
      </c>
      <c r="AC119" s="35"/>
      <c r="AD119" s="35"/>
      <c r="AE119" s="36"/>
      <c r="AF119" s="34" t="str">
        <f aca="true">IF(OR(D119="",R119="Cancelled"),"",IF(H119="","NO QTY",IF(AND(L119="Buy",E119=""),"NO PART NO",IF(AND(W119&lt;&gt;"",NOT(OR(R119="Received",R119="NSW Purchased")),W119&lt;TODAY()),"OVERDUE",IF(AND(W119&lt;&gt;"",Q119&lt;&gt;"",W119&gt;Q119),"LATE vs REQ",IF(AND(R119="Finalized – Not Purchased",T119=""),"NEED PR",IF(AND(Y119&lt;&gt;"",Y119&lt;J119),"SHORT","")))))))</f>
        <v/>
      </c>
      <c r="AG119" s="35"/>
    </row>
    <row r="120" customFormat="false" ht="15" hidden="false" customHeight="false" outlineLevel="0" collapsed="false">
      <c r="A120" s="34" t="str">
        <f aca="false">IF(B120="","",LEFT(B120,3)&amp;"-"&amp;TEXT(COUNTIF(B$11:B120,B120),"00"))</f>
        <v/>
      </c>
      <c r="B120" s="35"/>
      <c r="C120" s="35"/>
      <c r="D120" s="35"/>
      <c r="E120" s="35"/>
      <c r="F120" s="35"/>
      <c r="G120" s="35"/>
      <c r="H120" s="35"/>
      <c r="I120" s="35"/>
      <c r="J120" s="34" t="str">
        <f aca="false">IF(H120="","",H120*IF(I120="",1,I120))</f>
        <v/>
      </c>
      <c r="K120" s="35"/>
      <c r="L120" s="35"/>
      <c r="M120" s="35"/>
      <c r="N120" s="35"/>
      <c r="O120" s="35"/>
      <c r="P120" s="36"/>
      <c r="Q120" s="36"/>
      <c r="R120" s="35"/>
      <c r="S120" s="35"/>
      <c r="T120" s="35"/>
      <c r="U120" s="35"/>
      <c r="V120" s="36"/>
      <c r="W120" s="36"/>
      <c r="X120" s="35"/>
      <c r="Y120" s="35"/>
      <c r="Z120" s="36"/>
      <c r="AA120" s="37"/>
      <c r="AB120" s="38" t="str">
        <f aca="false">IF(OR(AA120="",J120=""),"",AA120*J120)</f>
        <v/>
      </c>
      <c r="AC120" s="35"/>
      <c r="AD120" s="35"/>
      <c r="AE120" s="36"/>
      <c r="AF120" s="34" t="str">
        <f aca="true">IF(OR(D120="",R120="Cancelled"),"",IF(H120="","NO QTY",IF(AND(L120="Buy",E120=""),"NO PART NO",IF(AND(W120&lt;&gt;"",NOT(OR(R120="Received",R120="NSW Purchased")),W120&lt;TODAY()),"OVERDUE",IF(AND(W120&lt;&gt;"",Q120&lt;&gt;"",W120&gt;Q120),"LATE vs REQ",IF(AND(R120="Finalized – Not Purchased",T120=""),"NEED PR",IF(AND(Y120&lt;&gt;"",Y120&lt;J120),"SHORT","")))))))</f>
        <v/>
      </c>
      <c r="AG120" s="35"/>
    </row>
    <row r="121" customFormat="false" ht="15" hidden="false" customHeight="false" outlineLevel="0" collapsed="false">
      <c r="A121" s="34" t="str">
        <f aca="false">IF(B121="","",LEFT(B121,3)&amp;"-"&amp;TEXT(COUNTIF(B$11:B121,B121),"00"))</f>
        <v/>
      </c>
      <c r="B121" s="35"/>
      <c r="C121" s="35"/>
      <c r="D121" s="35"/>
      <c r="E121" s="35"/>
      <c r="F121" s="35"/>
      <c r="G121" s="35"/>
      <c r="H121" s="35"/>
      <c r="I121" s="35"/>
      <c r="J121" s="34" t="str">
        <f aca="false">IF(H121="","",H121*IF(I121="",1,I121))</f>
        <v/>
      </c>
      <c r="K121" s="35"/>
      <c r="L121" s="35"/>
      <c r="M121" s="35"/>
      <c r="N121" s="35"/>
      <c r="O121" s="35"/>
      <c r="P121" s="36"/>
      <c r="Q121" s="36"/>
      <c r="R121" s="35"/>
      <c r="S121" s="35"/>
      <c r="T121" s="35"/>
      <c r="U121" s="35"/>
      <c r="V121" s="36"/>
      <c r="W121" s="36"/>
      <c r="X121" s="35"/>
      <c r="Y121" s="35"/>
      <c r="Z121" s="36"/>
      <c r="AA121" s="37"/>
      <c r="AB121" s="38" t="str">
        <f aca="false">IF(OR(AA121="",J121=""),"",AA121*J121)</f>
        <v/>
      </c>
      <c r="AC121" s="35"/>
      <c r="AD121" s="35"/>
      <c r="AE121" s="36"/>
      <c r="AF121" s="34" t="str">
        <f aca="true">IF(OR(D121="",R121="Cancelled"),"",IF(H121="","NO QTY",IF(AND(L121="Buy",E121=""),"NO PART NO",IF(AND(W121&lt;&gt;"",NOT(OR(R121="Received",R121="NSW Purchased")),W121&lt;TODAY()),"OVERDUE",IF(AND(W121&lt;&gt;"",Q121&lt;&gt;"",W121&gt;Q121),"LATE vs REQ",IF(AND(R121="Finalized – Not Purchased",T121=""),"NEED PR",IF(AND(Y121&lt;&gt;"",Y121&lt;J121),"SHORT","")))))))</f>
        <v/>
      </c>
      <c r="AG121" s="35"/>
    </row>
    <row r="122" customFormat="false" ht="15" hidden="false" customHeight="false" outlineLevel="0" collapsed="false">
      <c r="A122" s="34" t="str">
        <f aca="false">IF(B122="","",LEFT(B122,3)&amp;"-"&amp;TEXT(COUNTIF(B$11:B122,B122),"00"))</f>
        <v/>
      </c>
      <c r="B122" s="35"/>
      <c r="C122" s="35"/>
      <c r="D122" s="35"/>
      <c r="E122" s="35"/>
      <c r="F122" s="35"/>
      <c r="G122" s="35"/>
      <c r="H122" s="35"/>
      <c r="I122" s="35"/>
      <c r="J122" s="34" t="str">
        <f aca="false">IF(H122="","",H122*IF(I122="",1,I122))</f>
        <v/>
      </c>
      <c r="K122" s="35"/>
      <c r="L122" s="35"/>
      <c r="M122" s="35"/>
      <c r="N122" s="35"/>
      <c r="O122" s="35"/>
      <c r="P122" s="36"/>
      <c r="Q122" s="36"/>
      <c r="R122" s="35"/>
      <c r="S122" s="35"/>
      <c r="T122" s="35"/>
      <c r="U122" s="35"/>
      <c r="V122" s="36"/>
      <c r="W122" s="36"/>
      <c r="X122" s="35"/>
      <c r="Y122" s="35"/>
      <c r="Z122" s="36"/>
      <c r="AA122" s="37"/>
      <c r="AB122" s="38" t="str">
        <f aca="false">IF(OR(AA122="",J122=""),"",AA122*J122)</f>
        <v/>
      </c>
      <c r="AC122" s="35"/>
      <c r="AD122" s="35"/>
      <c r="AE122" s="36"/>
      <c r="AF122" s="34" t="str">
        <f aca="true">IF(OR(D122="",R122="Cancelled"),"",IF(H122="","NO QTY",IF(AND(L122="Buy",E122=""),"NO PART NO",IF(AND(W122&lt;&gt;"",NOT(OR(R122="Received",R122="NSW Purchased")),W122&lt;TODAY()),"OVERDUE",IF(AND(W122&lt;&gt;"",Q122&lt;&gt;"",W122&gt;Q122),"LATE vs REQ",IF(AND(R122="Finalized – Not Purchased",T122=""),"NEED PR",IF(AND(Y122&lt;&gt;"",Y122&lt;J122),"SHORT","")))))))</f>
        <v/>
      </c>
      <c r="AG122" s="35"/>
    </row>
    <row r="123" customFormat="false" ht="15" hidden="false" customHeight="false" outlineLevel="0" collapsed="false">
      <c r="A123" s="34" t="str">
        <f aca="false">IF(B123="","",LEFT(B123,3)&amp;"-"&amp;TEXT(COUNTIF(B$11:B123,B123),"00"))</f>
        <v/>
      </c>
      <c r="B123" s="35"/>
      <c r="C123" s="35"/>
      <c r="D123" s="35"/>
      <c r="E123" s="35"/>
      <c r="F123" s="35"/>
      <c r="G123" s="35"/>
      <c r="H123" s="35"/>
      <c r="I123" s="35"/>
      <c r="J123" s="34" t="str">
        <f aca="false">IF(H123="","",H123*IF(I123="",1,I123))</f>
        <v/>
      </c>
      <c r="K123" s="35"/>
      <c r="L123" s="35"/>
      <c r="M123" s="35"/>
      <c r="N123" s="35"/>
      <c r="O123" s="35"/>
      <c r="P123" s="36"/>
      <c r="Q123" s="36"/>
      <c r="R123" s="35"/>
      <c r="S123" s="35"/>
      <c r="T123" s="35"/>
      <c r="U123" s="35"/>
      <c r="V123" s="36"/>
      <c r="W123" s="36"/>
      <c r="X123" s="35"/>
      <c r="Y123" s="35"/>
      <c r="Z123" s="36"/>
      <c r="AA123" s="37"/>
      <c r="AB123" s="38" t="str">
        <f aca="false">IF(OR(AA123="",J123=""),"",AA123*J123)</f>
        <v/>
      </c>
      <c r="AC123" s="35"/>
      <c r="AD123" s="35"/>
      <c r="AE123" s="36"/>
      <c r="AF123" s="34" t="str">
        <f aca="true">IF(OR(D123="",R123="Cancelled"),"",IF(H123="","NO QTY",IF(AND(L123="Buy",E123=""),"NO PART NO",IF(AND(W123&lt;&gt;"",NOT(OR(R123="Received",R123="NSW Purchased")),W123&lt;TODAY()),"OVERDUE",IF(AND(W123&lt;&gt;"",Q123&lt;&gt;"",W123&gt;Q123),"LATE vs REQ",IF(AND(R123="Finalized – Not Purchased",T123=""),"NEED PR",IF(AND(Y123&lt;&gt;"",Y123&lt;J123),"SHORT","")))))))</f>
        <v/>
      </c>
      <c r="AG123" s="35"/>
    </row>
    <row r="124" customFormat="false" ht="15" hidden="false" customHeight="false" outlineLevel="0" collapsed="false">
      <c r="A124" s="34" t="str">
        <f aca="false">IF(B124="","",LEFT(B124,3)&amp;"-"&amp;TEXT(COUNTIF(B$11:B124,B124),"00"))</f>
        <v/>
      </c>
      <c r="B124" s="35"/>
      <c r="C124" s="35"/>
      <c r="D124" s="35"/>
      <c r="E124" s="35"/>
      <c r="F124" s="35"/>
      <c r="G124" s="35"/>
      <c r="H124" s="35"/>
      <c r="I124" s="35"/>
      <c r="J124" s="34" t="str">
        <f aca="false">IF(H124="","",H124*IF(I124="",1,I124))</f>
        <v/>
      </c>
      <c r="K124" s="35"/>
      <c r="L124" s="35"/>
      <c r="M124" s="35"/>
      <c r="N124" s="35"/>
      <c r="O124" s="35"/>
      <c r="P124" s="36"/>
      <c r="Q124" s="36"/>
      <c r="R124" s="35"/>
      <c r="S124" s="35"/>
      <c r="T124" s="35"/>
      <c r="U124" s="35"/>
      <c r="V124" s="36"/>
      <c r="W124" s="36"/>
      <c r="X124" s="35"/>
      <c r="Y124" s="35"/>
      <c r="Z124" s="36"/>
      <c r="AA124" s="37"/>
      <c r="AB124" s="38" t="str">
        <f aca="false">IF(OR(AA124="",J124=""),"",AA124*J124)</f>
        <v/>
      </c>
      <c r="AC124" s="35"/>
      <c r="AD124" s="35"/>
      <c r="AE124" s="36"/>
      <c r="AF124" s="34" t="str">
        <f aca="true">IF(OR(D124="",R124="Cancelled"),"",IF(H124="","NO QTY",IF(AND(L124="Buy",E124=""),"NO PART NO",IF(AND(W124&lt;&gt;"",NOT(OR(R124="Received",R124="NSW Purchased")),W124&lt;TODAY()),"OVERDUE",IF(AND(W124&lt;&gt;"",Q124&lt;&gt;"",W124&gt;Q124),"LATE vs REQ",IF(AND(R124="Finalized – Not Purchased",T124=""),"NEED PR",IF(AND(Y124&lt;&gt;"",Y124&lt;J124),"SHORT","")))))))</f>
        <v/>
      </c>
      <c r="AG124" s="35"/>
    </row>
    <row r="125" customFormat="false" ht="15" hidden="false" customHeight="false" outlineLevel="0" collapsed="false">
      <c r="A125" s="34" t="str">
        <f aca="false">IF(B125="","",LEFT(B125,3)&amp;"-"&amp;TEXT(COUNTIF(B$11:B125,B125),"00"))</f>
        <v/>
      </c>
      <c r="B125" s="35"/>
      <c r="C125" s="35"/>
      <c r="D125" s="35"/>
      <c r="E125" s="35"/>
      <c r="F125" s="35"/>
      <c r="G125" s="35"/>
      <c r="H125" s="35"/>
      <c r="I125" s="35"/>
      <c r="J125" s="34" t="str">
        <f aca="false">IF(H125="","",H125*IF(I125="",1,I125))</f>
        <v/>
      </c>
      <c r="K125" s="35"/>
      <c r="L125" s="35"/>
      <c r="M125" s="35"/>
      <c r="N125" s="35"/>
      <c r="O125" s="35"/>
      <c r="P125" s="36"/>
      <c r="Q125" s="36"/>
      <c r="R125" s="35"/>
      <c r="S125" s="35"/>
      <c r="T125" s="35"/>
      <c r="U125" s="35"/>
      <c r="V125" s="36"/>
      <c r="W125" s="36"/>
      <c r="X125" s="35"/>
      <c r="Y125" s="35"/>
      <c r="Z125" s="36"/>
      <c r="AA125" s="37"/>
      <c r="AB125" s="38" t="str">
        <f aca="false">IF(OR(AA125="",J125=""),"",AA125*J125)</f>
        <v/>
      </c>
      <c r="AC125" s="35"/>
      <c r="AD125" s="35"/>
      <c r="AE125" s="36"/>
      <c r="AF125" s="34" t="str">
        <f aca="true">IF(OR(D125="",R125="Cancelled"),"",IF(H125="","NO QTY",IF(AND(L125="Buy",E125=""),"NO PART NO",IF(AND(W125&lt;&gt;"",NOT(OR(R125="Received",R125="NSW Purchased")),W125&lt;TODAY()),"OVERDUE",IF(AND(W125&lt;&gt;"",Q125&lt;&gt;"",W125&gt;Q125),"LATE vs REQ",IF(AND(R125="Finalized – Not Purchased",T125=""),"NEED PR",IF(AND(Y125&lt;&gt;"",Y125&lt;J125),"SHORT","")))))))</f>
        <v/>
      </c>
      <c r="AG125" s="35"/>
    </row>
    <row r="126" customFormat="false" ht="15" hidden="false" customHeight="false" outlineLevel="0" collapsed="false">
      <c r="A126" s="34" t="str">
        <f aca="false">IF(B126="","",LEFT(B126,3)&amp;"-"&amp;TEXT(COUNTIF(B$11:B126,B126),"00"))</f>
        <v/>
      </c>
      <c r="B126" s="35"/>
      <c r="C126" s="35"/>
      <c r="D126" s="35"/>
      <c r="E126" s="35"/>
      <c r="F126" s="35"/>
      <c r="G126" s="35"/>
      <c r="H126" s="35"/>
      <c r="I126" s="35"/>
      <c r="J126" s="34" t="str">
        <f aca="false">IF(H126="","",H126*IF(I126="",1,I126))</f>
        <v/>
      </c>
      <c r="K126" s="35"/>
      <c r="L126" s="35"/>
      <c r="M126" s="35"/>
      <c r="N126" s="35"/>
      <c r="O126" s="35"/>
      <c r="P126" s="36"/>
      <c r="Q126" s="36"/>
      <c r="R126" s="35"/>
      <c r="S126" s="35"/>
      <c r="T126" s="35"/>
      <c r="U126" s="35"/>
      <c r="V126" s="36"/>
      <c r="W126" s="36"/>
      <c r="X126" s="35"/>
      <c r="Y126" s="35"/>
      <c r="Z126" s="36"/>
      <c r="AA126" s="37"/>
      <c r="AB126" s="38" t="str">
        <f aca="false">IF(OR(AA126="",J126=""),"",AA126*J126)</f>
        <v/>
      </c>
      <c r="AC126" s="35"/>
      <c r="AD126" s="35"/>
      <c r="AE126" s="36"/>
      <c r="AF126" s="34" t="str">
        <f aca="true">IF(OR(D126="",R126="Cancelled"),"",IF(H126="","NO QTY",IF(AND(L126="Buy",E126=""),"NO PART NO",IF(AND(W126&lt;&gt;"",NOT(OR(R126="Received",R126="NSW Purchased")),W126&lt;TODAY()),"OVERDUE",IF(AND(W126&lt;&gt;"",Q126&lt;&gt;"",W126&gt;Q126),"LATE vs REQ",IF(AND(R126="Finalized – Not Purchased",T126=""),"NEED PR",IF(AND(Y126&lt;&gt;"",Y126&lt;J126),"SHORT","")))))))</f>
        <v/>
      </c>
      <c r="AG126" s="35"/>
    </row>
    <row r="127" customFormat="false" ht="15" hidden="false" customHeight="false" outlineLevel="0" collapsed="false">
      <c r="A127" s="34" t="str">
        <f aca="false">IF(B127="","",LEFT(B127,3)&amp;"-"&amp;TEXT(COUNTIF(B$11:B127,B127),"00"))</f>
        <v/>
      </c>
      <c r="B127" s="35"/>
      <c r="C127" s="35"/>
      <c r="D127" s="35"/>
      <c r="E127" s="35"/>
      <c r="F127" s="35"/>
      <c r="G127" s="35"/>
      <c r="H127" s="35"/>
      <c r="I127" s="35"/>
      <c r="J127" s="34" t="str">
        <f aca="false">IF(H127="","",H127*IF(I127="",1,I127))</f>
        <v/>
      </c>
      <c r="K127" s="35"/>
      <c r="L127" s="35"/>
      <c r="M127" s="35"/>
      <c r="N127" s="35"/>
      <c r="O127" s="35"/>
      <c r="P127" s="36"/>
      <c r="Q127" s="36"/>
      <c r="R127" s="35"/>
      <c r="S127" s="35"/>
      <c r="T127" s="35"/>
      <c r="U127" s="35"/>
      <c r="V127" s="36"/>
      <c r="W127" s="36"/>
      <c r="X127" s="35"/>
      <c r="Y127" s="35"/>
      <c r="Z127" s="36"/>
      <c r="AA127" s="37"/>
      <c r="AB127" s="38" t="str">
        <f aca="false">IF(OR(AA127="",J127=""),"",AA127*J127)</f>
        <v/>
      </c>
      <c r="AC127" s="35"/>
      <c r="AD127" s="35"/>
      <c r="AE127" s="36"/>
      <c r="AF127" s="34" t="str">
        <f aca="true">IF(OR(D127="",R127="Cancelled"),"",IF(H127="","NO QTY",IF(AND(L127="Buy",E127=""),"NO PART NO",IF(AND(W127&lt;&gt;"",NOT(OR(R127="Received",R127="NSW Purchased")),W127&lt;TODAY()),"OVERDUE",IF(AND(W127&lt;&gt;"",Q127&lt;&gt;"",W127&gt;Q127),"LATE vs REQ",IF(AND(R127="Finalized – Not Purchased",T127=""),"NEED PR",IF(AND(Y127&lt;&gt;"",Y127&lt;J127),"SHORT","")))))))</f>
        <v/>
      </c>
      <c r="AG127" s="35"/>
    </row>
    <row r="128" customFormat="false" ht="15" hidden="false" customHeight="false" outlineLevel="0" collapsed="false">
      <c r="A128" s="34" t="str">
        <f aca="false">IF(B128="","",LEFT(B128,3)&amp;"-"&amp;TEXT(COUNTIF(B$11:B128,B128),"00"))</f>
        <v/>
      </c>
      <c r="B128" s="35"/>
      <c r="C128" s="35"/>
      <c r="D128" s="35"/>
      <c r="E128" s="35"/>
      <c r="F128" s="35"/>
      <c r="G128" s="35"/>
      <c r="H128" s="35"/>
      <c r="I128" s="35"/>
      <c r="J128" s="34" t="str">
        <f aca="false">IF(H128="","",H128*IF(I128="",1,I128))</f>
        <v/>
      </c>
      <c r="K128" s="35"/>
      <c r="L128" s="35"/>
      <c r="M128" s="35"/>
      <c r="N128" s="35"/>
      <c r="O128" s="35"/>
      <c r="P128" s="36"/>
      <c r="Q128" s="36"/>
      <c r="R128" s="35"/>
      <c r="S128" s="35"/>
      <c r="T128" s="35"/>
      <c r="U128" s="35"/>
      <c r="V128" s="36"/>
      <c r="W128" s="36"/>
      <c r="X128" s="35"/>
      <c r="Y128" s="35"/>
      <c r="Z128" s="36"/>
      <c r="AA128" s="37"/>
      <c r="AB128" s="38" t="str">
        <f aca="false">IF(OR(AA128="",J128=""),"",AA128*J128)</f>
        <v/>
      </c>
      <c r="AC128" s="35"/>
      <c r="AD128" s="35"/>
      <c r="AE128" s="36"/>
      <c r="AF128" s="34" t="str">
        <f aca="true">IF(OR(D128="",R128="Cancelled"),"",IF(H128="","NO QTY",IF(AND(L128="Buy",E128=""),"NO PART NO",IF(AND(W128&lt;&gt;"",NOT(OR(R128="Received",R128="NSW Purchased")),W128&lt;TODAY()),"OVERDUE",IF(AND(W128&lt;&gt;"",Q128&lt;&gt;"",W128&gt;Q128),"LATE vs REQ",IF(AND(R128="Finalized – Not Purchased",T128=""),"NEED PR",IF(AND(Y128&lt;&gt;"",Y128&lt;J128),"SHORT","")))))))</f>
        <v/>
      </c>
      <c r="AG128" s="35"/>
    </row>
    <row r="129" customFormat="false" ht="15" hidden="false" customHeight="false" outlineLevel="0" collapsed="false">
      <c r="A129" s="34" t="str">
        <f aca="false">IF(B129="","",LEFT(B129,3)&amp;"-"&amp;TEXT(COUNTIF(B$11:B129,B129),"00"))</f>
        <v/>
      </c>
      <c r="B129" s="35"/>
      <c r="C129" s="35"/>
      <c r="D129" s="35"/>
      <c r="E129" s="35"/>
      <c r="F129" s="35"/>
      <c r="G129" s="35"/>
      <c r="H129" s="35"/>
      <c r="I129" s="35"/>
      <c r="J129" s="34" t="str">
        <f aca="false">IF(H129="","",H129*IF(I129="",1,I129))</f>
        <v/>
      </c>
      <c r="K129" s="35"/>
      <c r="L129" s="35"/>
      <c r="M129" s="35"/>
      <c r="N129" s="35"/>
      <c r="O129" s="35"/>
      <c r="P129" s="36"/>
      <c r="Q129" s="36"/>
      <c r="R129" s="35"/>
      <c r="S129" s="35"/>
      <c r="T129" s="35"/>
      <c r="U129" s="35"/>
      <c r="V129" s="36"/>
      <c r="W129" s="36"/>
      <c r="X129" s="35"/>
      <c r="Y129" s="35"/>
      <c r="Z129" s="36"/>
      <c r="AA129" s="37"/>
      <c r="AB129" s="38" t="str">
        <f aca="false">IF(OR(AA129="",J129=""),"",AA129*J129)</f>
        <v/>
      </c>
      <c r="AC129" s="35"/>
      <c r="AD129" s="35"/>
      <c r="AE129" s="36"/>
      <c r="AF129" s="34" t="str">
        <f aca="true">IF(OR(D129="",R129="Cancelled"),"",IF(H129="","NO QTY",IF(AND(L129="Buy",E129=""),"NO PART NO",IF(AND(W129&lt;&gt;"",NOT(OR(R129="Received",R129="NSW Purchased")),W129&lt;TODAY()),"OVERDUE",IF(AND(W129&lt;&gt;"",Q129&lt;&gt;"",W129&gt;Q129),"LATE vs REQ",IF(AND(R129="Finalized – Not Purchased",T129=""),"NEED PR",IF(AND(Y129&lt;&gt;"",Y129&lt;J129),"SHORT","")))))))</f>
        <v/>
      </c>
      <c r="AG129" s="35"/>
    </row>
    <row r="130" customFormat="false" ht="15" hidden="false" customHeight="false" outlineLevel="0" collapsed="false">
      <c r="A130" s="34" t="str">
        <f aca="false">IF(B130="","",LEFT(B130,3)&amp;"-"&amp;TEXT(COUNTIF(B$11:B130,B130),"00"))</f>
        <v/>
      </c>
      <c r="B130" s="35"/>
      <c r="C130" s="35"/>
      <c r="D130" s="35"/>
      <c r="E130" s="35"/>
      <c r="F130" s="35"/>
      <c r="G130" s="35"/>
      <c r="H130" s="35"/>
      <c r="I130" s="35"/>
      <c r="J130" s="34" t="str">
        <f aca="false">IF(H130="","",H130*IF(I130="",1,I130))</f>
        <v/>
      </c>
      <c r="K130" s="35"/>
      <c r="L130" s="35"/>
      <c r="M130" s="35"/>
      <c r="N130" s="35"/>
      <c r="O130" s="35"/>
      <c r="P130" s="36"/>
      <c r="Q130" s="36"/>
      <c r="R130" s="35"/>
      <c r="S130" s="35"/>
      <c r="T130" s="35"/>
      <c r="U130" s="35"/>
      <c r="V130" s="36"/>
      <c r="W130" s="36"/>
      <c r="X130" s="35"/>
      <c r="Y130" s="35"/>
      <c r="Z130" s="36"/>
      <c r="AA130" s="37"/>
      <c r="AB130" s="38" t="str">
        <f aca="false">IF(OR(AA130="",J130=""),"",AA130*J130)</f>
        <v/>
      </c>
      <c r="AC130" s="35"/>
      <c r="AD130" s="35"/>
      <c r="AE130" s="36"/>
      <c r="AF130" s="34" t="str">
        <f aca="true">IF(OR(D130="",R130="Cancelled"),"",IF(H130="","NO QTY",IF(AND(L130="Buy",E130=""),"NO PART NO",IF(AND(W130&lt;&gt;"",NOT(OR(R130="Received",R130="NSW Purchased")),W130&lt;TODAY()),"OVERDUE",IF(AND(W130&lt;&gt;"",Q130&lt;&gt;"",W130&gt;Q130),"LATE vs REQ",IF(AND(R130="Finalized – Not Purchased",T130=""),"NEED PR",IF(AND(Y130&lt;&gt;"",Y130&lt;J130),"SHORT","")))))))</f>
        <v/>
      </c>
      <c r="AG130" s="35"/>
    </row>
    <row r="131" customFormat="false" ht="15" hidden="false" customHeight="false" outlineLevel="0" collapsed="false">
      <c r="A131" s="34" t="str">
        <f aca="false">IF(B131="","",LEFT(B131,3)&amp;"-"&amp;TEXT(COUNTIF(B$11:B131,B131),"00"))</f>
        <v/>
      </c>
      <c r="B131" s="35"/>
      <c r="C131" s="35"/>
      <c r="D131" s="35"/>
      <c r="E131" s="35"/>
      <c r="F131" s="35"/>
      <c r="G131" s="35"/>
      <c r="H131" s="35"/>
      <c r="I131" s="35"/>
      <c r="J131" s="34" t="str">
        <f aca="false">IF(H131="","",H131*IF(I131="",1,I131))</f>
        <v/>
      </c>
      <c r="K131" s="35"/>
      <c r="L131" s="35"/>
      <c r="M131" s="35"/>
      <c r="N131" s="35"/>
      <c r="O131" s="35"/>
      <c r="P131" s="36"/>
      <c r="Q131" s="36"/>
      <c r="R131" s="35"/>
      <c r="S131" s="35"/>
      <c r="T131" s="35"/>
      <c r="U131" s="35"/>
      <c r="V131" s="36"/>
      <c r="W131" s="36"/>
      <c r="X131" s="35"/>
      <c r="Y131" s="35"/>
      <c r="Z131" s="36"/>
      <c r="AA131" s="37"/>
      <c r="AB131" s="38" t="str">
        <f aca="false">IF(OR(AA131="",J131=""),"",AA131*J131)</f>
        <v/>
      </c>
      <c r="AC131" s="35"/>
      <c r="AD131" s="35"/>
      <c r="AE131" s="36"/>
      <c r="AF131" s="34" t="str">
        <f aca="true">IF(OR(D131="",R131="Cancelled"),"",IF(H131="","NO QTY",IF(AND(L131="Buy",E131=""),"NO PART NO",IF(AND(W131&lt;&gt;"",NOT(OR(R131="Received",R131="NSW Purchased")),W131&lt;TODAY()),"OVERDUE",IF(AND(W131&lt;&gt;"",Q131&lt;&gt;"",W131&gt;Q131),"LATE vs REQ",IF(AND(R131="Finalized – Not Purchased",T131=""),"NEED PR",IF(AND(Y131&lt;&gt;"",Y131&lt;J131),"SHORT","")))))))</f>
        <v/>
      </c>
      <c r="AG131" s="35"/>
    </row>
    <row r="132" customFormat="false" ht="15" hidden="false" customHeight="false" outlineLevel="0" collapsed="false">
      <c r="A132" s="34" t="str">
        <f aca="false">IF(B132="","",LEFT(B132,3)&amp;"-"&amp;TEXT(COUNTIF(B$11:B132,B132),"00"))</f>
        <v/>
      </c>
      <c r="B132" s="35"/>
      <c r="C132" s="35"/>
      <c r="D132" s="35"/>
      <c r="E132" s="35"/>
      <c r="F132" s="35"/>
      <c r="G132" s="35"/>
      <c r="H132" s="35"/>
      <c r="I132" s="35"/>
      <c r="J132" s="34" t="str">
        <f aca="false">IF(H132="","",H132*IF(I132="",1,I132))</f>
        <v/>
      </c>
      <c r="K132" s="35"/>
      <c r="L132" s="35"/>
      <c r="M132" s="35"/>
      <c r="N132" s="35"/>
      <c r="O132" s="35"/>
      <c r="P132" s="36"/>
      <c r="Q132" s="36"/>
      <c r="R132" s="35"/>
      <c r="S132" s="35"/>
      <c r="T132" s="35"/>
      <c r="U132" s="35"/>
      <c r="V132" s="36"/>
      <c r="W132" s="36"/>
      <c r="X132" s="35"/>
      <c r="Y132" s="35"/>
      <c r="Z132" s="36"/>
      <c r="AA132" s="37"/>
      <c r="AB132" s="38" t="str">
        <f aca="false">IF(OR(AA132="",J132=""),"",AA132*J132)</f>
        <v/>
      </c>
      <c r="AC132" s="35"/>
      <c r="AD132" s="35"/>
      <c r="AE132" s="36"/>
      <c r="AF132" s="34" t="str">
        <f aca="true">IF(OR(D132="",R132="Cancelled"),"",IF(H132="","NO QTY",IF(AND(L132="Buy",E132=""),"NO PART NO",IF(AND(W132&lt;&gt;"",NOT(OR(R132="Received",R132="NSW Purchased")),W132&lt;TODAY()),"OVERDUE",IF(AND(W132&lt;&gt;"",Q132&lt;&gt;"",W132&gt;Q132),"LATE vs REQ",IF(AND(R132="Finalized – Not Purchased",T132=""),"NEED PR",IF(AND(Y132&lt;&gt;"",Y132&lt;J132),"SHORT","")))))))</f>
        <v/>
      </c>
      <c r="AG132" s="35"/>
    </row>
    <row r="133" customFormat="false" ht="15" hidden="false" customHeight="false" outlineLevel="0" collapsed="false">
      <c r="A133" s="34" t="str">
        <f aca="false">IF(B133="","",LEFT(B133,3)&amp;"-"&amp;TEXT(COUNTIF(B$11:B133,B133),"00"))</f>
        <v/>
      </c>
      <c r="B133" s="35"/>
      <c r="C133" s="35"/>
      <c r="D133" s="35"/>
      <c r="E133" s="35"/>
      <c r="F133" s="35"/>
      <c r="G133" s="35"/>
      <c r="H133" s="35"/>
      <c r="I133" s="35"/>
      <c r="J133" s="34" t="str">
        <f aca="false">IF(H133="","",H133*IF(I133="",1,I133))</f>
        <v/>
      </c>
      <c r="K133" s="35"/>
      <c r="L133" s="35"/>
      <c r="M133" s="35"/>
      <c r="N133" s="35"/>
      <c r="O133" s="35"/>
      <c r="P133" s="36"/>
      <c r="Q133" s="36"/>
      <c r="R133" s="35"/>
      <c r="S133" s="35"/>
      <c r="T133" s="35"/>
      <c r="U133" s="35"/>
      <c r="V133" s="36"/>
      <c r="W133" s="36"/>
      <c r="X133" s="35"/>
      <c r="Y133" s="35"/>
      <c r="Z133" s="36"/>
      <c r="AA133" s="37"/>
      <c r="AB133" s="38" t="str">
        <f aca="false">IF(OR(AA133="",J133=""),"",AA133*J133)</f>
        <v/>
      </c>
      <c r="AC133" s="35"/>
      <c r="AD133" s="35"/>
      <c r="AE133" s="36"/>
      <c r="AF133" s="34" t="str">
        <f aca="true">IF(OR(D133="",R133="Cancelled"),"",IF(H133="","NO QTY",IF(AND(L133="Buy",E133=""),"NO PART NO",IF(AND(W133&lt;&gt;"",NOT(OR(R133="Received",R133="NSW Purchased")),W133&lt;TODAY()),"OVERDUE",IF(AND(W133&lt;&gt;"",Q133&lt;&gt;"",W133&gt;Q133),"LATE vs REQ",IF(AND(R133="Finalized – Not Purchased",T133=""),"NEED PR",IF(AND(Y133&lt;&gt;"",Y133&lt;J133),"SHORT","")))))))</f>
        <v/>
      </c>
      <c r="AG133" s="35"/>
    </row>
    <row r="134" customFormat="false" ht="15" hidden="false" customHeight="false" outlineLevel="0" collapsed="false">
      <c r="A134" s="34" t="str">
        <f aca="false">IF(B134="","",LEFT(B134,3)&amp;"-"&amp;TEXT(COUNTIF(B$11:B134,B134),"00"))</f>
        <v/>
      </c>
      <c r="B134" s="35"/>
      <c r="C134" s="35"/>
      <c r="D134" s="35"/>
      <c r="E134" s="35"/>
      <c r="F134" s="35"/>
      <c r="G134" s="35"/>
      <c r="H134" s="35"/>
      <c r="I134" s="35"/>
      <c r="J134" s="34" t="str">
        <f aca="false">IF(H134="","",H134*IF(I134="",1,I134))</f>
        <v/>
      </c>
      <c r="K134" s="35"/>
      <c r="L134" s="35"/>
      <c r="M134" s="35"/>
      <c r="N134" s="35"/>
      <c r="O134" s="35"/>
      <c r="P134" s="36"/>
      <c r="Q134" s="36"/>
      <c r="R134" s="35"/>
      <c r="S134" s="35"/>
      <c r="T134" s="35"/>
      <c r="U134" s="35"/>
      <c r="V134" s="36"/>
      <c r="W134" s="36"/>
      <c r="X134" s="35"/>
      <c r="Y134" s="35"/>
      <c r="Z134" s="36"/>
      <c r="AA134" s="37"/>
      <c r="AB134" s="38" t="str">
        <f aca="false">IF(OR(AA134="",J134=""),"",AA134*J134)</f>
        <v/>
      </c>
      <c r="AC134" s="35"/>
      <c r="AD134" s="35"/>
      <c r="AE134" s="36"/>
      <c r="AF134" s="34" t="str">
        <f aca="true">IF(OR(D134="",R134="Cancelled"),"",IF(H134="","NO QTY",IF(AND(L134="Buy",E134=""),"NO PART NO",IF(AND(W134&lt;&gt;"",NOT(OR(R134="Received",R134="NSW Purchased")),W134&lt;TODAY()),"OVERDUE",IF(AND(W134&lt;&gt;"",Q134&lt;&gt;"",W134&gt;Q134),"LATE vs REQ",IF(AND(R134="Finalized – Not Purchased",T134=""),"NEED PR",IF(AND(Y134&lt;&gt;"",Y134&lt;J134),"SHORT","")))))))</f>
        <v/>
      </c>
      <c r="AG134" s="35"/>
    </row>
    <row r="135" customFormat="false" ht="15" hidden="false" customHeight="false" outlineLevel="0" collapsed="false">
      <c r="A135" s="34" t="str">
        <f aca="false">IF(B135="","",LEFT(B135,3)&amp;"-"&amp;TEXT(COUNTIF(B$11:B135,B135),"00"))</f>
        <v/>
      </c>
      <c r="B135" s="35"/>
      <c r="C135" s="35"/>
      <c r="D135" s="35"/>
      <c r="E135" s="35"/>
      <c r="F135" s="35"/>
      <c r="G135" s="35"/>
      <c r="H135" s="35"/>
      <c r="I135" s="35"/>
      <c r="J135" s="34" t="str">
        <f aca="false">IF(H135="","",H135*IF(I135="",1,I135))</f>
        <v/>
      </c>
      <c r="K135" s="35"/>
      <c r="L135" s="35"/>
      <c r="M135" s="35"/>
      <c r="N135" s="35"/>
      <c r="O135" s="35"/>
      <c r="P135" s="36"/>
      <c r="Q135" s="36"/>
      <c r="R135" s="35"/>
      <c r="S135" s="35"/>
      <c r="T135" s="35"/>
      <c r="U135" s="35"/>
      <c r="V135" s="36"/>
      <c r="W135" s="36"/>
      <c r="X135" s="35"/>
      <c r="Y135" s="35"/>
      <c r="Z135" s="36"/>
      <c r="AA135" s="37"/>
      <c r="AB135" s="38" t="str">
        <f aca="false">IF(OR(AA135="",J135=""),"",AA135*J135)</f>
        <v/>
      </c>
      <c r="AC135" s="35"/>
      <c r="AD135" s="35"/>
      <c r="AE135" s="36"/>
      <c r="AF135" s="34" t="str">
        <f aca="true">IF(OR(D135="",R135="Cancelled"),"",IF(H135="","NO QTY",IF(AND(L135="Buy",E135=""),"NO PART NO",IF(AND(W135&lt;&gt;"",NOT(OR(R135="Received",R135="NSW Purchased")),W135&lt;TODAY()),"OVERDUE",IF(AND(W135&lt;&gt;"",Q135&lt;&gt;"",W135&gt;Q135),"LATE vs REQ",IF(AND(R135="Finalized – Not Purchased",T135=""),"NEED PR",IF(AND(Y135&lt;&gt;"",Y135&lt;J135),"SHORT","")))))))</f>
        <v/>
      </c>
      <c r="AG135" s="35"/>
    </row>
    <row r="136" customFormat="false" ht="15" hidden="false" customHeight="false" outlineLevel="0" collapsed="false">
      <c r="A136" s="34" t="str">
        <f aca="false">IF(B136="","",LEFT(B136,3)&amp;"-"&amp;TEXT(COUNTIF(B$11:B136,B136),"00"))</f>
        <v/>
      </c>
      <c r="B136" s="35"/>
      <c r="C136" s="35"/>
      <c r="D136" s="35"/>
      <c r="E136" s="35"/>
      <c r="F136" s="35"/>
      <c r="G136" s="35"/>
      <c r="H136" s="35"/>
      <c r="I136" s="35"/>
      <c r="J136" s="34" t="str">
        <f aca="false">IF(H136="","",H136*IF(I136="",1,I136))</f>
        <v/>
      </c>
      <c r="K136" s="35"/>
      <c r="L136" s="35"/>
      <c r="M136" s="35"/>
      <c r="N136" s="35"/>
      <c r="O136" s="35"/>
      <c r="P136" s="36"/>
      <c r="Q136" s="36"/>
      <c r="R136" s="35"/>
      <c r="S136" s="35"/>
      <c r="T136" s="35"/>
      <c r="U136" s="35"/>
      <c r="V136" s="36"/>
      <c r="W136" s="36"/>
      <c r="X136" s="35"/>
      <c r="Y136" s="35"/>
      <c r="Z136" s="36"/>
      <c r="AA136" s="37"/>
      <c r="AB136" s="38" t="str">
        <f aca="false">IF(OR(AA136="",J136=""),"",AA136*J136)</f>
        <v/>
      </c>
      <c r="AC136" s="35"/>
      <c r="AD136" s="35"/>
      <c r="AE136" s="36"/>
      <c r="AF136" s="34" t="str">
        <f aca="true">IF(OR(D136="",R136="Cancelled"),"",IF(H136="","NO QTY",IF(AND(L136="Buy",E136=""),"NO PART NO",IF(AND(W136&lt;&gt;"",NOT(OR(R136="Received",R136="NSW Purchased")),W136&lt;TODAY()),"OVERDUE",IF(AND(W136&lt;&gt;"",Q136&lt;&gt;"",W136&gt;Q136),"LATE vs REQ",IF(AND(R136="Finalized – Not Purchased",T136=""),"NEED PR",IF(AND(Y136&lt;&gt;"",Y136&lt;J136),"SHORT","")))))))</f>
        <v/>
      </c>
      <c r="AG136" s="35"/>
    </row>
    <row r="137" customFormat="false" ht="15" hidden="false" customHeight="false" outlineLevel="0" collapsed="false">
      <c r="A137" s="34" t="str">
        <f aca="false">IF(B137="","",LEFT(B137,3)&amp;"-"&amp;TEXT(COUNTIF(B$11:B137,B137),"00"))</f>
        <v/>
      </c>
      <c r="B137" s="35"/>
      <c r="C137" s="35"/>
      <c r="D137" s="35"/>
      <c r="E137" s="35"/>
      <c r="F137" s="35"/>
      <c r="G137" s="35"/>
      <c r="H137" s="35"/>
      <c r="I137" s="35"/>
      <c r="J137" s="34" t="str">
        <f aca="false">IF(H137="","",H137*IF(I137="",1,I137))</f>
        <v/>
      </c>
      <c r="K137" s="35"/>
      <c r="L137" s="35"/>
      <c r="M137" s="35"/>
      <c r="N137" s="35"/>
      <c r="O137" s="35"/>
      <c r="P137" s="36"/>
      <c r="Q137" s="36"/>
      <c r="R137" s="35"/>
      <c r="S137" s="35"/>
      <c r="T137" s="35"/>
      <c r="U137" s="35"/>
      <c r="V137" s="36"/>
      <c r="W137" s="36"/>
      <c r="X137" s="35"/>
      <c r="Y137" s="35"/>
      <c r="Z137" s="36"/>
      <c r="AA137" s="37"/>
      <c r="AB137" s="38" t="str">
        <f aca="false">IF(OR(AA137="",J137=""),"",AA137*J137)</f>
        <v/>
      </c>
      <c r="AC137" s="35"/>
      <c r="AD137" s="35"/>
      <c r="AE137" s="36"/>
      <c r="AF137" s="34" t="str">
        <f aca="true">IF(OR(D137="",R137="Cancelled"),"",IF(H137="","NO QTY",IF(AND(L137="Buy",E137=""),"NO PART NO",IF(AND(W137&lt;&gt;"",NOT(OR(R137="Received",R137="NSW Purchased")),W137&lt;TODAY()),"OVERDUE",IF(AND(W137&lt;&gt;"",Q137&lt;&gt;"",W137&gt;Q137),"LATE vs REQ",IF(AND(R137="Finalized – Not Purchased",T137=""),"NEED PR",IF(AND(Y137&lt;&gt;"",Y137&lt;J137),"SHORT","")))))))</f>
        <v/>
      </c>
      <c r="AG137" s="35"/>
    </row>
    <row r="138" customFormat="false" ht="15" hidden="false" customHeight="false" outlineLevel="0" collapsed="false">
      <c r="A138" s="34" t="str">
        <f aca="false">IF(B138="","",LEFT(B138,3)&amp;"-"&amp;TEXT(COUNTIF(B$11:B138,B138),"00"))</f>
        <v/>
      </c>
      <c r="B138" s="35"/>
      <c r="C138" s="35"/>
      <c r="D138" s="35"/>
      <c r="E138" s="35"/>
      <c r="F138" s="35"/>
      <c r="G138" s="35"/>
      <c r="H138" s="35"/>
      <c r="I138" s="35"/>
      <c r="J138" s="34" t="str">
        <f aca="false">IF(H138="","",H138*IF(I138="",1,I138))</f>
        <v/>
      </c>
      <c r="K138" s="35"/>
      <c r="L138" s="35"/>
      <c r="M138" s="35"/>
      <c r="N138" s="35"/>
      <c r="O138" s="35"/>
      <c r="P138" s="36"/>
      <c r="Q138" s="36"/>
      <c r="R138" s="35"/>
      <c r="S138" s="35"/>
      <c r="T138" s="35"/>
      <c r="U138" s="35"/>
      <c r="V138" s="36"/>
      <c r="W138" s="36"/>
      <c r="X138" s="35"/>
      <c r="Y138" s="35"/>
      <c r="Z138" s="36"/>
      <c r="AA138" s="37"/>
      <c r="AB138" s="38" t="str">
        <f aca="false">IF(OR(AA138="",J138=""),"",AA138*J138)</f>
        <v/>
      </c>
      <c r="AC138" s="35"/>
      <c r="AD138" s="35"/>
      <c r="AE138" s="36"/>
      <c r="AF138" s="34" t="str">
        <f aca="true">IF(OR(D138="",R138="Cancelled"),"",IF(H138="","NO QTY",IF(AND(L138="Buy",E138=""),"NO PART NO",IF(AND(W138&lt;&gt;"",NOT(OR(R138="Received",R138="NSW Purchased")),W138&lt;TODAY()),"OVERDUE",IF(AND(W138&lt;&gt;"",Q138&lt;&gt;"",W138&gt;Q138),"LATE vs REQ",IF(AND(R138="Finalized – Not Purchased",T138=""),"NEED PR",IF(AND(Y138&lt;&gt;"",Y138&lt;J138),"SHORT","")))))))</f>
        <v/>
      </c>
      <c r="AG138" s="35"/>
    </row>
    <row r="139" customFormat="false" ht="15" hidden="false" customHeight="false" outlineLevel="0" collapsed="false">
      <c r="A139" s="34" t="str">
        <f aca="false">IF(B139="","",LEFT(B139,3)&amp;"-"&amp;TEXT(COUNTIF(B$11:B139,B139),"00"))</f>
        <v/>
      </c>
      <c r="B139" s="35"/>
      <c r="C139" s="35"/>
      <c r="D139" s="35"/>
      <c r="E139" s="35"/>
      <c r="F139" s="35"/>
      <c r="G139" s="35"/>
      <c r="H139" s="35"/>
      <c r="I139" s="35"/>
      <c r="J139" s="34" t="str">
        <f aca="false">IF(H139="","",H139*IF(I139="",1,I139))</f>
        <v/>
      </c>
      <c r="K139" s="35"/>
      <c r="L139" s="35"/>
      <c r="M139" s="35"/>
      <c r="N139" s="35"/>
      <c r="O139" s="35"/>
      <c r="P139" s="36"/>
      <c r="Q139" s="36"/>
      <c r="R139" s="35"/>
      <c r="S139" s="35"/>
      <c r="T139" s="35"/>
      <c r="U139" s="35"/>
      <c r="V139" s="36"/>
      <c r="W139" s="36"/>
      <c r="X139" s="35"/>
      <c r="Y139" s="35"/>
      <c r="Z139" s="36"/>
      <c r="AA139" s="37"/>
      <c r="AB139" s="38" t="str">
        <f aca="false">IF(OR(AA139="",J139=""),"",AA139*J139)</f>
        <v/>
      </c>
      <c r="AC139" s="35"/>
      <c r="AD139" s="35"/>
      <c r="AE139" s="36"/>
      <c r="AF139" s="34" t="str">
        <f aca="true">IF(OR(D139="",R139="Cancelled"),"",IF(H139="","NO QTY",IF(AND(L139="Buy",E139=""),"NO PART NO",IF(AND(W139&lt;&gt;"",NOT(OR(R139="Received",R139="NSW Purchased")),W139&lt;TODAY()),"OVERDUE",IF(AND(W139&lt;&gt;"",Q139&lt;&gt;"",W139&gt;Q139),"LATE vs REQ",IF(AND(R139="Finalized – Not Purchased",T139=""),"NEED PR",IF(AND(Y139&lt;&gt;"",Y139&lt;J139),"SHORT","")))))))</f>
        <v/>
      </c>
      <c r="AG139" s="35"/>
    </row>
    <row r="140" customFormat="false" ht="15" hidden="false" customHeight="false" outlineLevel="0" collapsed="false">
      <c r="A140" s="34" t="str">
        <f aca="false">IF(B140="","",LEFT(B140,3)&amp;"-"&amp;TEXT(COUNTIF(B$11:B140,B140),"00"))</f>
        <v/>
      </c>
      <c r="B140" s="35"/>
      <c r="C140" s="35"/>
      <c r="D140" s="35"/>
      <c r="E140" s="35"/>
      <c r="F140" s="35"/>
      <c r="G140" s="35"/>
      <c r="H140" s="35"/>
      <c r="I140" s="35"/>
      <c r="J140" s="34" t="str">
        <f aca="false">IF(H140="","",H140*IF(I140="",1,I140))</f>
        <v/>
      </c>
      <c r="K140" s="35"/>
      <c r="L140" s="35"/>
      <c r="M140" s="35"/>
      <c r="N140" s="35"/>
      <c r="O140" s="35"/>
      <c r="P140" s="36"/>
      <c r="Q140" s="36"/>
      <c r="R140" s="35"/>
      <c r="S140" s="35"/>
      <c r="T140" s="35"/>
      <c r="U140" s="35"/>
      <c r="V140" s="36"/>
      <c r="W140" s="36"/>
      <c r="X140" s="35"/>
      <c r="Y140" s="35"/>
      <c r="Z140" s="36"/>
      <c r="AA140" s="37"/>
      <c r="AB140" s="38" t="str">
        <f aca="false">IF(OR(AA140="",J140=""),"",AA140*J140)</f>
        <v/>
      </c>
      <c r="AC140" s="35"/>
      <c r="AD140" s="35"/>
      <c r="AE140" s="36"/>
      <c r="AF140" s="34" t="str">
        <f aca="true">IF(OR(D140="",R140="Cancelled"),"",IF(H140="","NO QTY",IF(AND(L140="Buy",E140=""),"NO PART NO",IF(AND(W140&lt;&gt;"",NOT(OR(R140="Received",R140="NSW Purchased")),W140&lt;TODAY()),"OVERDUE",IF(AND(W140&lt;&gt;"",Q140&lt;&gt;"",W140&gt;Q140),"LATE vs REQ",IF(AND(R140="Finalized – Not Purchased",T140=""),"NEED PR",IF(AND(Y140&lt;&gt;"",Y140&lt;J140),"SHORT","")))))))</f>
        <v/>
      </c>
      <c r="AG140" s="35"/>
    </row>
    <row r="141" customFormat="false" ht="15" hidden="false" customHeight="false" outlineLevel="0" collapsed="false">
      <c r="A141" s="34" t="str">
        <f aca="false">IF(B141="","",LEFT(B141,3)&amp;"-"&amp;TEXT(COUNTIF(B$11:B141,B141),"00"))</f>
        <v/>
      </c>
      <c r="B141" s="35"/>
      <c r="C141" s="35"/>
      <c r="D141" s="35"/>
      <c r="E141" s="35"/>
      <c r="F141" s="35"/>
      <c r="G141" s="35"/>
      <c r="H141" s="35"/>
      <c r="I141" s="35"/>
      <c r="J141" s="34" t="str">
        <f aca="false">IF(H141="","",H141*IF(I141="",1,I141))</f>
        <v/>
      </c>
      <c r="K141" s="35"/>
      <c r="L141" s="35"/>
      <c r="M141" s="35"/>
      <c r="N141" s="35"/>
      <c r="O141" s="35"/>
      <c r="P141" s="36"/>
      <c r="Q141" s="36"/>
      <c r="R141" s="35"/>
      <c r="S141" s="35"/>
      <c r="T141" s="35"/>
      <c r="U141" s="35"/>
      <c r="V141" s="36"/>
      <c r="W141" s="36"/>
      <c r="X141" s="35"/>
      <c r="Y141" s="35"/>
      <c r="Z141" s="36"/>
      <c r="AA141" s="37"/>
      <c r="AB141" s="38" t="str">
        <f aca="false">IF(OR(AA141="",J141=""),"",AA141*J141)</f>
        <v/>
      </c>
      <c r="AC141" s="35"/>
      <c r="AD141" s="35"/>
      <c r="AE141" s="36"/>
      <c r="AF141" s="34" t="str">
        <f aca="true">IF(OR(D141="",R141="Cancelled"),"",IF(H141="","NO QTY",IF(AND(L141="Buy",E141=""),"NO PART NO",IF(AND(W141&lt;&gt;"",NOT(OR(R141="Received",R141="NSW Purchased")),W141&lt;TODAY()),"OVERDUE",IF(AND(W141&lt;&gt;"",Q141&lt;&gt;"",W141&gt;Q141),"LATE vs REQ",IF(AND(R141="Finalized – Not Purchased",T141=""),"NEED PR",IF(AND(Y141&lt;&gt;"",Y141&lt;J141),"SHORT","")))))))</f>
        <v/>
      </c>
      <c r="AG141" s="35"/>
    </row>
    <row r="142" customFormat="false" ht="15" hidden="false" customHeight="false" outlineLevel="0" collapsed="false">
      <c r="A142" s="34" t="str">
        <f aca="false">IF(B142="","",LEFT(B142,3)&amp;"-"&amp;TEXT(COUNTIF(B$11:B142,B142),"00"))</f>
        <v/>
      </c>
      <c r="B142" s="35"/>
      <c r="C142" s="35"/>
      <c r="D142" s="35"/>
      <c r="E142" s="35"/>
      <c r="F142" s="35"/>
      <c r="G142" s="35"/>
      <c r="H142" s="35"/>
      <c r="I142" s="35"/>
      <c r="J142" s="34" t="str">
        <f aca="false">IF(H142="","",H142*IF(I142="",1,I142))</f>
        <v/>
      </c>
      <c r="K142" s="35"/>
      <c r="L142" s="35"/>
      <c r="M142" s="35"/>
      <c r="N142" s="35"/>
      <c r="O142" s="35"/>
      <c r="P142" s="36"/>
      <c r="Q142" s="36"/>
      <c r="R142" s="35"/>
      <c r="S142" s="35"/>
      <c r="T142" s="35"/>
      <c r="U142" s="35"/>
      <c r="V142" s="36"/>
      <c r="W142" s="36"/>
      <c r="X142" s="35"/>
      <c r="Y142" s="35"/>
      <c r="Z142" s="36"/>
      <c r="AA142" s="37"/>
      <c r="AB142" s="38" t="str">
        <f aca="false">IF(OR(AA142="",J142=""),"",AA142*J142)</f>
        <v/>
      </c>
      <c r="AC142" s="35"/>
      <c r="AD142" s="35"/>
      <c r="AE142" s="36"/>
      <c r="AF142" s="34" t="str">
        <f aca="true">IF(OR(D142="",R142="Cancelled"),"",IF(H142="","NO QTY",IF(AND(L142="Buy",E142=""),"NO PART NO",IF(AND(W142&lt;&gt;"",NOT(OR(R142="Received",R142="NSW Purchased")),W142&lt;TODAY()),"OVERDUE",IF(AND(W142&lt;&gt;"",Q142&lt;&gt;"",W142&gt;Q142),"LATE vs REQ",IF(AND(R142="Finalized – Not Purchased",T142=""),"NEED PR",IF(AND(Y142&lt;&gt;"",Y142&lt;J142),"SHORT","")))))))</f>
        <v/>
      </c>
      <c r="AG142" s="35"/>
    </row>
    <row r="143" customFormat="false" ht="15" hidden="false" customHeight="false" outlineLevel="0" collapsed="false">
      <c r="A143" s="34" t="str">
        <f aca="false">IF(B143="","",LEFT(B143,3)&amp;"-"&amp;TEXT(COUNTIF(B$11:B143,B143),"00"))</f>
        <v/>
      </c>
      <c r="B143" s="35"/>
      <c r="C143" s="35"/>
      <c r="D143" s="35"/>
      <c r="E143" s="35"/>
      <c r="F143" s="35"/>
      <c r="G143" s="35"/>
      <c r="H143" s="35"/>
      <c r="I143" s="35"/>
      <c r="J143" s="34" t="str">
        <f aca="false">IF(H143="","",H143*IF(I143="",1,I143))</f>
        <v/>
      </c>
      <c r="K143" s="35"/>
      <c r="L143" s="35"/>
      <c r="M143" s="35"/>
      <c r="N143" s="35"/>
      <c r="O143" s="35"/>
      <c r="P143" s="36"/>
      <c r="Q143" s="36"/>
      <c r="R143" s="35"/>
      <c r="S143" s="35"/>
      <c r="T143" s="35"/>
      <c r="U143" s="35"/>
      <c r="V143" s="36"/>
      <c r="W143" s="36"/>
      <c r="X143" s="35"/>
      <c r="Y143" s="35"/>
      <c r="Z143" s="36"/>
      <c r="AA143" s="37"/>
      <c r="AB143" s="38" t="str">
        <f aca="false">IF(OR(AA143="",J143=""),"",AA143*J143)</f>
        <v/>
      </c>
      <c r="AC143" s="35"/>
      <c r="AD143" s="35"/>
      <c r="AE143" s="36"/>
      <c r="AF143" s="34" t="str">
        <f aca="true">IF(OR(D143="",R143="Cancelled"),"",IF(H143="","NO QTY",IF(AND(L143="Buy",E143=""),"NO PART NO",IF(AND(W143&lt;&gt;"",NOT(OR(R143="Received",R143="NSW Purchased")),W143&lt;TODAY()),"OVERDUE",IF(AND(W143&lt;&gt;"",Q143&lt;&gt;"",W143&gt;Q143),"LATE vs REQ",IF(AND(R143="Finalized – Not Purchased",T143=""),"NEED PR",IF(AND(Y143&lt;&gt;"",Y143&lt;J143),"SHORT","")))))))</f>
        <v/>
      </c>
      <c r="AG143" s="35"/>
    </row>
    <row r="144" customFormat="false" ht="15" hidden="false" customHeight="false" outlineLevel="0" collapsed="false">
      <c r="A144" s="34" t="str">
        <f aca="false">IF(B144="","",LEFT(B144,3)&amp;"-"&amp;TEXT(COUNTIF(B$11:B144,B144),"00"))</f>
        <v/>
      </c>
      <c r="B144" s="35"/>
      <c r="C144" s="35"/>
      <c r="D144" s="35"/>
      <c r="E144" s="35"/>
      <c r="F144" s="35"/>
      <c r="G144" s="35"/>
      <c r="H144" s="35"/>
      <c r="I144" s="35"/>
      <c r="J144" s="34" t="str">
        <f aca="false">IF(H144="","",H144*IF(I144="",1,I144))</f>
        <v/>
      </c>
      <c r="K144" s="35"/>
      <c r="L144" s="35"/>
      <c r="M144" s="35"/>
      <c r="N144" s="35"/>
      <c r="O144" s="35"/>
      <c r="P144" s="36"/>
      <c r="Q144" s="36"/>
      <c r="R144" s="35"/>
      <c r="S144" s="35"/>
      <c r="T144" s="35"/>
      <c r="U144" s="35"/>
      <c r="V144" s="36"/>
      <c r="W144" s="36"/>
      <c r="X144" s="35"/>
      <c r="Y144" s="35"/>
      <c r="Z144" s="36"/>
      <c r="AA144" s="37"/>
      <c r="AB144" s="38" t="str">
        <f aca="false">IF(OR(AA144="",J144=""),"",AA144*J144)</f>
        <v/>
      </c>
      <c r="AC144" s="35"/>
      <c r="AD144" s="35"/>
      <c r="AE144" s="36"/>
      <c r="AF144" s="34" t="str">
        <f aca="true">IF(OR(D144="",R144="Cancelled"),"",IF(H144="","NO QTY",IF(AND(L144="Buy",E144=""),"NO PART NO",IF(AND(W144&lt;&gt;"",NOT(OR(R144="Received",R144="NSW Purchased")),W144&lt;TODAY()),"OVERDUE",IF(AND(W144&lt;&gt;"",Q144&lt;&gt;"",W144&gt;Q144),"LATE vs REQ",IF(AND(R144="Finalized – Not Purchased",T144=""),"NEED PR",IF(AND(Y144&lt;&gt;"",Y144&lt;J144),"SHORT","")))))))</f>
        <v/>
      </c>
      <c r="AG144" s="35"/>
    </row>
    <row r="145" customFormat="false" ht="15" hidden="false" customHeight="false" outlineLevel="0" collapsed="false">
      <c r="A145" s="34" t="str">
        <f aca="false">IF(B145="","",LEFT(B145,3)&amp;"-"&amp;TEXT(COUNTIF(B$11:B145,B145),"00"))</f>
        <v/>
      </c>
      <c r="B145" s="35"/>
      <c r="C145" s="35"/>
      <c r="D145" s="35"/>
      <c r="E145" s="35"/>
      <c r="F145" s="35"/>
      <c r="G145" s="35"/>
      <c r="H145" s="35"/>
      <c r="I145" s="35"/>
      <c r="J145" s="34" t="str">
        <f aca="false">IF(H145="","",H145*IF(I145="",1,I145))</f>
        <v/>
      </c>
      <c r="K145" s="35"/>
      <c r="L145" s="35"/>
      <c r="M145" s="35"/>
      <c r="N145" s="35"/>
      <c r="O145" s="35"/>
      <c r="P145" s="36"/>
      <c r="Q145" s="36"/>
      <c r="R145" s="35"/>
      <c r="S145" s="35"/>
      <c r="T145" s="35"/>
      <c r="U145" s="35"/>
      <c r="V145" s="36"/>
      <c r="W145" s="36"/>
      <c r="X145" s="35"/>
      <c r="Y145" s="35"/>
      <c r="Z145" s="36"/>
      <c r="AA145" s="37"/>
      <c r="AB145" s="38" t="str">
        <f aca="false">IF(OR(AA145="",J145=""),"",AA145*J145)</f>
        <v/>
      </c>
      <c r="AC145" s="35"/>
      <c r="AD145" s="35"/>
      <c r="AE145" s="36"/>
      <c r="AF145" s="34" t="str">
        <f aca="true">IF(OR(D145="",R145="Cancelled"),"",IF(H145="","NO QTY",IF(AND(L145="Buy",E145=""),"NO PART NO",IF(AND(W145&lt;&gt;"",NOT(OR(R145="Received",R145="NSW Purchased")),W145&lt;TODAY()),"OVERDUE",IF(AND(W145&lt;&gt;"",Q145&lt;&gt;"",W145&gt;Q145),"LATE vs REQ",IF(AND(R145="Finalized – Not Purchased",T145=""),"NEED PR",IF(AND(Y145&lt;&gt;"",Y145&lt;J145),"SHORT","")))))))</f>
        <v/>
      </c>
      <c r="AG145" s="35"/>
    </row>
    <row r="146" customFormat="false" ht="15" hidden="false" customHeight="false" outlineLevel="0" collapsed="false">
      <c r="A146" s="34" t="str">
        <f aca="false">IF(B146="","",LEFT(B146,3)&amp;"-"&amp;TEXT(COUNTIF(B$11:B146,B146),"00"))</f>
        <v/>
      </c>
      <c r="B146" s="35"/>
      <c r="C146" s="35"/>
      <c r="D146" s="35"/>
      <c r="E146" s="35"/>
      <c r="F146" s="35"/>
      <c r="G146" s="35"/>
      <c r="H146" s="35"/>
      <c r="I146" s="35"/>
      <c r="J146" s="34" t="str">
        <f aca="false">IF(H146="","",H146*IF(I146="",1,I146))</f>
        <v/>
      </c>
      <c r="K146" s="35"/>
      <c r="L146" s="35"/>
      <c r="M146" s="35"/>
      <c r="N146" s="35"/>
      <c r="O146" s="35"/>
      <c r="P146" s="36"/>
      <c r="Q146" s="36"/>
      <c r="R146" s="35"/>
      <c r="S146" s="35"/>
      <c r="T146" s="35"/>
      <c r="U146" s="35"/>
      <c r="V146" s="36"/>
      <c r="W146" s="36"/>
      <c r="X146" s="35"/>
      <c r="Y146" s="35"/>
      <c r="Z146" s="36"/>
      <c r="AA146" s="37"/>
      <c r="AB146" s="38" t="str">
        <f aca="false">IF(OR(AA146="",J146=""),"",AA146*J146)</f>
        <v/>
      </c>
      <c r="AC146" s="35"/>
      <c r="AD146" s="35"/>
      <c r="AE146" s="36"/>
      <c r="AF146" s="34" t="str">
        <f aca="true">IF(OR(D146="",R146="Cancelled"),"",IF(H146="","NO QTY",IF(AND(L146="Buy",E146=""),"NO PART NO",IF(AND(W146&lt;&gt;"",NOT(OR(R146="Received",R146="NSW Purchased")),W146&lt;TODAY()),"OVERDUE",IF(AND(W146&lt;&gt;"",Q146&lt;&gt;"",W146&gt;Q146),"LATE vs REQ",IF(AND(R146="Finalized – Not Purchased",T146=""),"NEED PR",IF(AND(Y146&lt;&gt;"",Y146&lt;J146),"SHORT","")))))))</f>
        <v/>
      </c>
      <c r="AG146" s="35"/>
    </row>
    <row r="147" customFormat="false" ht="15" hidden="false" customHeight="false" outlineLevel="0" collapsed="false">
      <c r="A147" s="34" t="str">
        <f aca="false">IF(B147="","",LEFT(B147,3)&amp;"-"&amp;TEXT(COUNTIF(B$11:B147,B147),"00"))</f>
        <v/>
      </c>
      <c r="B147" s="35"/>
      <c r="C147" s="35"/>
      <c r="D147" s="35"/>
      <c r="E147" s="35"/>
      <c r="F147" s="35"/>
      <c r="G147" s="35"/>
      <c r="H147" s="35"/>
      <c r="I147" s="35"/>
      <c r="J147" s="34" t="str">
        <f aca="false">IF(H147="","",H147*IF(I147="",1,I147))</f>
        <v/>
      </c>
      <c r="K147" s="35"/>
      <c r="L147" s="35"/>
      <c r="M147" s="35"/>
      <c r="N147" s="35"/>
      <c r="O147" s="35"/>
      <c r="P147" s="36"/>
      <c r="Q147" s="36"/>
      <c r="R147" s="35"/>
      <c r="S147" s="35"/>
      <c r="T147" s="35"/>
      <c r="U147" s="35"/>
      <c r="V147" s="36"/>
      <c r="W147" s="36"/>
      <c r="X147" s="35"/>
      <c r="Y147" s="35"/>
      <c r="Z147" s="36"/>
      <c r="AA147" s="37"/>
      <c r="AB147" s="38" t="str">
        <f aca="false">IF(OR(AA147="",J147=""),"",AA147*J147)</f>
        <v/>
      </c>
      <c r="AC147" s="35"/>
      <c r="AD147" s="35"/>
      <c r="AE147" s="36"/>
      <c r="AF147" s="34" t="str">
        <f aca="true">IF(OR(D147="",R147="Cancelled"),"",IF(H147="","NO QTY",IF(AND(L147="Buy",E147=""),"NO PART NO",IF(AND(W147&lt;&gt;"",NOT(OR(R147="Received",R147="NSW Purchased")),W147&lt;TODAY()),"OVERDUE",IF(AND(W147&lt;&gt;"",Q147&lt;&gt;"",W147&gt;Q147),"LATE vs REQ",IF(AND(R147="Finalized – Not Purchased",T147=""),"NEED PR",IF(AND(Y147&lt;&gt;"",Y147&lt;J147),"SHORT","")))))))</f>
        <v/>
      </c>
      <c r="AG147" s="35"/>
    </row>
    <row r="148" customFormat="false" ht="15" hidden="false" customHeight="false" outlineLevel="0" collapsed="false">
      <c r="A148" s="34" t="str">
        <f aca="false">IF(B148="","",LEFT(B148,3)&amp;"-"&amp;TEXT(COUNTIF(B$11:B148,B148),"00"))</f>
        <v/>
      </c>
      <c r="B148" s="35"/>
      <c r="C148" s="35"/>
      <c r="D148" s="35"/>
      <c r="E148" s="35"/>
      <c r="F148" s="35"/>
      <c r="G148" s="35"/>
      <c r="H148" s="35"/>
      <c r="I148" s="35"/>
      <c r="J148" s="34" t="str">
        <f aca="false">IF(H148="","",H148*IF(I148="",1,I148))</f>
        <v/>
      </c>
      <c r="K148" s="35"/>
      <c r="L148" s="35"/>
      <c r="M148" s="35"/>
      <c r="N148" s="35"/>
      <c r="O148" s="35"/>
      <c r="P148" s="36"/>
      <c r="Q148" s="36"/>
      <c r="R148" s="35"/>
      <c r="S148" s="35"/>
      <c r="T148" s="35"/>
      <c r="U148" s="35"/>
      <c r="V148" s="36"/>
      <c r="W148" s="36"/>
      <c r="X148" s="35"/>
      <c r="Y148" s="35"/>
      <c r="Z148" s="36"/>
      <c r="AA148" s="37"/>
      <c r="AB148" s="38" t="str">
        <f aca="false">IF(OR(AA148="",J148=""),"",AA148*J148)</f>
        <v/>
      </c>
      <c r="AC148" s="35"/>
      <c r="AD148" s="35"/>
      <c r="AE148" s="36"/>
      <c r="AF148" s="34" t="str">
        <f aca="true">IF(OR(D148="",R148="Cancelled"),"",IF(H148="","NO QTY",IF(AND(L148="Buy",E148=""),"NO PART NO",IF(AND(W148&lt;&gt;"",NOT(OR(R148="Received",R148="NSW Purchased")),W148&lt;TODAY()),"OVERDUE",IF(AND(W148&lt;&gt;"",Q148&lt;&gt;"",W148&gt;Q148),"LATE vs REQ",IF(AND(R148="Finalized – Not Purchased",T148=""),"NEED PR",IF(AND(Y148&lt;&gt;"",Y148&lt;J148),"SHORT","")))))))</f>
        <v/>
      </c>
      <c r="AG148" s="35"/>
    </row>
    <row r="149" customFormat="false" ht="15" hidden="false" customHeight="false" outlineLevel="0" collapsed="false">
      <c r="A149" s="34" t="str">
        <f aca="false">IF(B149="","",LEFT(B149,3)&amp;"-"&amp;TEXT(COUNTIF(B$11:B149,B149),"00"))</f>
        <v/>
      </c>
      <c r="B149" s="35"/>
      <c r="C149" s="35"/>
      <c r="D149" s="35"/>
      <c r="E149" s="35"/>
      <c r="F149" s="35"/>
      <c r="G149" s="35"/>
      <c r="H149" s="35"/>
      <c r="I149" s="35"/>
      <c r="J149" s="34" t="str">
        <f aca="false">IF(H149="","",H149*IF(I149="",1,I149))</f>
        <v/>
      </c>
      <c r="K149" s="35"/>
      <c r="L149" s="35"/>
      <c r="M149" s="35"/>
      <c r="N149" s="35"/>
      <c r="O149" s="35"/>
      <c r="P149" s="36"/>
      <c r="Q149" s="36"/>
      <c r="R149" s="35"/>
      <c r="S149" s="35"/>
      <c r="T149" s="35"/>
      <c r="U149" s="35"/>
      <c r="V149" s="36"/>
      <c r="W149" s="36"/>
      <c r="X149" s="35"/>
      <c r="Y149" s="35"/>
      <c r="Z149" s="36"/>
      <c r="AA149" s="37"/>
      <c r="AB149" s="38" t="str">
        <f aca="false">IF(OR(AA149="",J149=""),"",AA149*J149)</f>
        <v/>
      </c>
      <c r="AC149" s="35"/>
      <c r="AD149" s="35"/>
      <c r="AE149" s="36"/>
      <c r="AF149" s="34" t="str">
        <f aca="true">IF(OR(D149="",R149="Cancelled"),"",IF(H149="","NO QTY",IF(AND(L149="Buy",E149=""),"NO PART NO",IF(AND(W149&lt;&gt;"",NOT(OR(R149="Received",R149="NSW Purchased")),W149&lt;TODAY()),"OVERDUE",IF(AND(W149&lt;&gt;"",Q149&lt;&gt;"",W149&gt;Q149),"LATE vs REQ",IF(AND(R149="Finalized – Not Purchased",T149=""),"NEED PR",IF(AND(Y149&lt;&gt;"",Y149&lt;J149),"SHORT","")))))))</f>
        <v/>
      </c>
      <c r="AG149" s="35"/>
    </row>
    <row r="150" customFormat="false" ht="15" hidden="false" customHeight="false" outlineLevel="0" collapsed="false">
      <c r="A150" s="34" t="str">
        <f aca="false">IF(B150="","",LEFT(B150,3)&amp;"-"&amp;TEXT(COUNTIF(B$11:B150,B150),"00"))</f>
        <v/>
      </c>
      <c r="B150" s="35"/>
      <c r="C150" s="35"/>
      <c r="D150" s="35"/>
      <c r="E150" s="35"/>
      <c r="F150" s="35"/>
      <c r="G150" s="35"/>
      <c r="H150" s="35"/>
      <c r="I150" s="35"/>
      <c r="J150" s="34" t="str">
        <f aca="false">IF(H150="","",H150*IF(I150="",1,I150))</f>
        <v/>
      </c>
      <c r="K150" s="35"/>
      <c r="L150" s="35"/>
      <c r="M150" s="35"/>
      <c r="N150" s="35"/>
      <c r="O150" s="35"/>
      <c r="P150" s="36"/>
      <c r="Q150" s="36"/>
      <c r="R150" s="35"/>
      <c r="S150" s="35"/>
      <c r="T150" s="35"/>
      <c r="U150" s="35"/>
      <c r="V150" s="36"/>
      <c r="W150" s="36"/>
      <c r="X150" s="35"/>
      <c r="Y150" s="35"/>
      <c r="Z150" s="36"/>
      <c r="AA150" s="37"/>
      <c r="AB150" s="38" t="str">
        <f aca="false">IF(OR(AA150="",J150=""),"",AA150*J150)</f>
        <v/>
      </c>
      <c r="AC150" s="35"/>
      <c r="AD150" s="35"/>
      <c r="AE150" s="36"/>
      <c r="AF150" s="34" t="str">
        <f aca="true">IF(OR(D150="",R150="Cancelled"),"",IF(H150="","NO QTY",IF(AND(L150="Buy",E150=""),"NO PART NO",IF(AND(W150&lt;&gt;"",NOT(OR(R150="Received",R150="NSW Purchased")),W150&lt;TODAY()),"OVERDUE",IF(AND(W150&lt;&gt;"",Q150&lt;&gt;"",W150&gt;Q150),"LATE vs REQ",IF(AND(R150="Finalized – Not Purchased",T150=""),"NEED PR",IF(AND(Y150&lt;&gt;"",Y150&lt;J150),"SHORT","")))))))</f>
        <v/>
      </c>
      <c r="AG150" s="35"/>
    </row>
    <row r="151" customFormat="false" ht="15" hidden="false" customHeight="false" outlineLevel="0" collapsed="false">
      <c r="A151" s="34" t="str">
        <f aca="false">IF(B151="","",LEFT(B151,3)&amp;"-"&amp;TEXT(COUNTIF(B$11:B151,B151),"00"))</f>
        <v/>
      </c>
      <c r="B151" s="35"/>
      <c r="C151" s="35"/>
      <c r="D151" s="35"/>
      <c r="E151" s="35"/>
      <c r="F151" s="35"/>
      <c r="G151" s="35"/>
      <c r="H151" s="35"/>
      <c r="I151" s="35"/>
      <c r="J151" s="34" t="str">
        <f aca="false">IF(H151="","",H151*IF(I151="",1,I151))</f>
        <v/>
      </c>
      <c r="K151" s="35"/>
      <c r="L151" s="35"/>
      <c r="M151" s="35"/>
      <c r="N151" s="35"/>
      <c r="O151" s="35"/>
      <c r="P151" s="36"/>
      <c r="Q151" s="36"/>
      <c r="R151" s="35"/>
      <c r="S151" s="35"/>
      <c r="T151" s="35"/>
      <c r="U151" s="35"/>
      <c r="V151" s="36"/>
      <c r="W151" s="36"/>
      <c r="X151" s="35"/>
      <c r="Y151" s="35"/>
      <c r="Z151" s="36"/>
      <c r="AA151" s="37"/>
      <c r="AB151" s="38" t="str">
        <f aca="false">IF(OR(AA151="",J151=""),"",AA151*J151)</f>
        <v/>
      </c>
      <c r="AC151" s="35"/>
      <c r="AD151" s="35"/>
      <c r="AE151" s="36"/>
      <c r="AF151" s="34" t="str">
        <f aca="true">IF(OR(D151="",R151="Cancelled"),"",IF(H151="","NO QTY",IF(AND(L151="Buy",E151=""),"NO PART NO",IF(AND(W151&lt;&gt;"",NOT(OR(R151="Received",R151="NSW Purchased")),W151&lt;TODAY()),"OVERDUE",IF(AND(W151&lt;&gt;"",Q151&lt;&gt;"",W151&gt;Q151),"LATE vs REQ",IF(AND(R151="Finalized – Not Purchased",T151=""),"NEED PR",IF(AND(Y151&lt;&gt;"",Y151&lt;J151),"SHORT","")))))))</f>
        <v/>
      </c>
      <c r="AG151" s="35"/>
    </row>
    <row r="152" customFormat="false" ht="15" hidden="false" customHeight="false" outlineLevel="0" collapsed="false">
      <c r="A152" s="34" t="str">
        <f aca="false">IF(B152="","",LEFT(B152,3)&amp;"-"&amp;TEXT(COUNTIF(B$11:B152,B152),"00"))</f>
        <v/>
      </c>
      <c r="B152" s="35"/>
      <c r="C152" s="35"/>
      <c r="D152" s="35"/>
      <c r="E152" s="35"/>
      <c r="F152" s="35"/>
      <c r="G152" s="35"/>
      <c r="H152" s="35"/>
      <c r="I152" s="35"/>
      <c r="J152" s="34" t="str">
        <f aca="false">IF(H152="","",H152*IF(I152="",1,I152))</f>
        <v/>
      </c>
      <c r="K152" s="35"/>
      <c r="L152" s="35"/>
      <c r="M152" s="35"/>
      <c r="N152" s="35"/>
      <c r="O152" s="35"/>
      <c r="P152" s="36"/>
      <c r="Q152" s="36"/>
      <c r="R152" s="35"/>
      <c r="S152" s="35"/>
      <c r="T152" s="35"/>
      <c r="U152" s="35"/>
      <c r="V152" s="36"/>
      <c r="W152" s="36"/>
      <c r="X152" s="35"/>
      <c r="Y152" s="35"/>
      <c r="Z152" s="36"/>
      <c r="AA152" s="37"/>
      <c r="AB152" s="38" t="str">
        <f aca="false">IF(OR(AA152="",J152=""),"",AA152*J152)</f>
        <v/>
      </c>
      <c r="AC152" s="35"/>
      <c r="AD152" s="35"/>
      <c r="AE152" s="36"/>
      <c r="AF152" s="34" t="str">
        <f aca="true">IF(OR(D152="",R152="Cancelled"),"",IF(H152="","NO QTY",IF(AND(L152="Buy",E152=""),"NO PART NO",IF(AND(W152&lt;&gt;"",NOT(OR(R152="Received",R152="NSW Purchased")),W152&lt;TODAY()),"OVERDUE",IF(AND(W152&lt;&gt;"",Q152&lt;&gt;"",W152&gt;Q152),"LATE vs REQ",IF(AND(R152="Finalized – Not Purchased",T152=""),"NEED PR",IF(AND(Y152&lt;&gt;"",Y152&lt;J152),"SHORT","")))))))</f>
        <v/>
      </c>
      <c r="AG152" s="35"/>
    </row>
    <row r="153" customFormat="false" ht="15" hidden="false" customHeight="false" outlineLevel="0" collapsed="false">
      <c r="A153" s="34" t="str">
        <f aca="false">IF(B153="","",LEFT(B153,3)&amp;"-"&amp;TEXT(COUNTIF(B$11:B153,B153),"00"))</f>
        <v/>
      </c>
      <c r="B153" s="35"/>
      <c r="C153" s="35"/>
      <c r="D153" s="35"/>
      <c r="E153" s="35"/>
      <c r="F153" s="35"/>
      <c r="G153" s="35"/>
      <c r="H153" s="35"/>
      <c r="I153" s="35"/>
      <c r="J153" s="34" t="str">
        <f aca="false">IF(H153="","",H153*IF(I153="",1,I153))</f>
        <v/>
      </c>
      <c r="K153" s="35"/>
      <c r="L153" s="35"/>
      <c r="M153" s="35"/>
      <c r="N153" s="35"/>
      <c r="O153" s="35"/>
      <c r="P153" s="36"/>
      <c r="Q153" s="36"/>
      <c r="R153" s="35"/>
      <c r="S153" s="35"/>
      <c r="T153" s="35"/>
      <c r="U153" s="35"/>
      <c r="V153" s="36"/>
      <c r="W153" s="36"/>
      <c r="X153" s="35"/>
      <c r="Y153" s="35"/>
      <c r="Z153" s="36"/>
      <c r="AA153" s="37"/>
      <c r="AB153" s="38" t="str">
        <f aca="false">IF(OR(AA153="",J153=""),"",AA153*J153)</f>
        <v/>
      </c>
      <c r="AC153" s="35"/>
      <c r="AD153" s="35"/>
      <c r="AE153" s="36"/>
      <c r="AF153" s="34" t="str">
        <f aca="true">IF(OR(D153="",R153="Cancelled"),"",IF(H153="","NO QTY",IF(AND(L153="Buy",E153=""),"NO PART NO",IF(AND(W153&lt;&gt;"",NOT(OR(R153="Received",R153="NSW Purchased")),W153&lt;TODAY()),"OVERDUE",IF(AND(W153&lt;&gt;"",Q153&lt;&gt;"",W153&gt;Q153),"LATE vs REQ",IF(AND(R153="Finalized – Not Purchased",T153=""),"NEED PR",IF(AND(Y153&lt;&gt;"",Y153&lt;J153),"SHORT","")))))))</f>
        <v/>
      </c>
      <c r="AG153" s="35"/>
    </row>
    <row r="154" customFormat="false" ht="15" hidden="false" customHeight="false" outlineLevel="0" collapsed="false">
      <c r="A154" s="34" t="str">
        <f aca="false">IF(B154="","",LEFT(B154,3)&amp;"-"&amp;TEXT(COUNTIF(B$11:B154,B154),"00"))</f>
        <v/>
      </c>
      <c r="B154" s="35"/>
      <c r="C154" s="35"/>
      <c r="D154" s="35"/>
      <c r="E154" s="35"/>
      <c r="F154" s="35"/>
      <c r="G154" s="35"/>
      <c r="H154" s="35"/>
      <c r="I154" s="35"/>
      <c r="J154" s="34" t="str">
        <f aca="false">IF(H154="","",H154*IF(I154="",1,I154))</f>
        <v/>
      </c>
      <c r="K154" s="35"/>
      <c r="L154" s="35"/>
      <c r="M154" s="35"/>
      <c r="N154" s="35"/>
      <c r="O154" s="35"/>
      <c r="P154" s="36"/>
      <c r="Q154" s="36"/>
      <c r="R154" s="35"/>
      <c r="S154" s="35"/>
      <c r="T154" s="35"/>
      <c r="U154" s="35"/>
      <c r="V154" s="36"/>
      <c r="W154" s="36"/>
      <c r="X154" s="35"/>
      <c r="Y154" s="35"/>
      <c r="Z154" s="36"/>
      <c r="AA154" s="37"/>
      <c r="AB154" s="38" t="str">
        <f aca="false">IF(OR(AA154="",J154=""),"",AA154*J154)</f>
        <v/>
      </c>
      <c r="AC154" s="35"/>
      <c r="AD154" s="35"/>
      <c r="AE154" s="36"/>
      <c r="AF154" s="34" t="str">
        <f aca="true">IF(OR(D154="",R154="Cancelled"),"",IF(H154="","NO QTY",IF(AND(L154="Buy",E154=""),"NO PART NO",IF(AND(W154&lt;&gt;"",NOT(OR(R154="Received",R154="NSW Purchased")),W154&lt;TODAY()),"OVERDUE",IF(AND(W154&lt;&gt;"",Q154&lt;&gt;"",W154&gt;Q154),"LATE vs REQ",IF(AND(R154="Finalized – Not Purchased",T154=""),"NEED PR",IF(AND(Y154&lt;&gt;"",Y154&lt;J154),"SHORT","")))))))</f>
        <v/>
      </c>
      <c r="AG154" s="35"/>
    </row>
    <row r="155" customFormat="false" ht="15" hidden="false" customHeight="false" outlineLevel="0" collapsed="false">
      <c r="A155" s="34" t="str">
        <f aca="false">IF(B155="","",LEFT(B155,3)&amp;"-"&amp;TEXT(COUNTIF(B$11:B155,B155),"00"))</f>
        <v/>
      </c>
      <c r="B155" s="35"/>
      <c r="C155" s="35"/>
      <c r="D155" s="35"/>
      <c r="E155" s="35"/>
      <c r="F155" s="35"/>
      <c r="G155" s="35"/>
      <c r="H155" s="35"/>
      <c r="I155" s="35"/>
      <c r="J155" s="34" t="str">
        <f aca="false">IF(H155="","",H155*IF(I155="",1,I155))</f>
        <v/>
      </c>
      <c r="K155" s="35"/>
      <c r="L155" s="35"/>
      <c r="M155" s="35"/>
      <c r="N155" s="35"/>
      <c r="O155" s="35"/>
      <c r="P155" s="36"/>
      <c r="Q155" s="36"/>
      <c r="R155" s="35"/>
      <c r="S155" s="35"/>
      <c r="T155" s="35"/>
      <c r="U155" s="35"/>
      <c r="V155" s="36"/>
      <c r="W155" s="36"/>
      <c r="X155" s="35"/>
      <c r="Y155" s="35"/>
      <c r="Z155" s="36"/>
      <c r="AA155" s="37"/>
      <c r="AB155" s="38" t="str">
        <f aca="false">IF(OR(AA155="",J155=""),"",AA155*J155)</f>
        <v/>
      </c>
      <c r="AC155" s="35"/>
      <c r="AD155" s="35"/>
      <c r="AE155" s="36"/>
      <c r="AF155" s="34" t="str">
        <f aca="true">IF(OR(D155="",R155="Cancelled"),"",IF(H155="","NO QTY",IF(AND(L155="Buy",E155=""),"NO PART NO",IF(AND(W155&lt;&gt;"",NOT(OR(R155="Received",R155="NSW Purchased")),W155&lt;TODAY()),"OVERDUE",IF(AND(W155&lt;&gt;"",Q155&lt;&gt;"",W155&gt;Q155),"LATE vs REQ",IF(AND(R155="Finalized – Not Purchased",T155=""),"NEED PR",IF(AND(Y155&lt;&gt;"",Y155&lt;J155),"SHORT","")))))))</f>
        <v/>
      </c>
      <c r="AG155" s="35"/>
    </row>
    <row r="156" customFormat="false" ht="15" hidden="false" customHeight="false" outlineLevel="0" collapsed="false">
      <c r="A156" s="34" t="str">
        <f aca="false">IF(B156="","",LEFT(B156,3)&amp;"-"&amp;TEXT(COUNTIF(B$11:B156,B156),"00"))</f>
        <v/>
      </c>
      <c r="B156" s="35"/>
      <c r="C156" s="35"/>
      <c r="D156" s="35"/>
      <c r="E156" s="35"/>
      <c r="F156" s="35"/>
      <c r="G156" s="35"/>
      <c r="H156" s="35"/>
      <c r="I156" s="35"/>
      <c r="J156" s="34" t="str">
        <f aca="false">IF(H156="","",H156*IF(I156="",1,I156))</f>
        <v/>
      </c>
      <c r="K156" s="35"/>
      <c r="L156" s="35"/>
      <c r="M156" s="35"/>
      <c r="N156" s="35"/>
      <c r="O156" s="35"/>
      <c r="P156" s="36"/>
      <c r="Q156" s="36"/>
      <c r="R156" s="35"/>
      <c r="S156" s="35"/>
      <c r="T156" s="35"/>
      <c r="U156" s="35"/>
      <c r="V156" s="36"/>
      <c r="W156" s="36"/>
      <c r="X156" s="35"/>
      <c r="Y156" s="35"/>
      <c r="Z156" s="36"/>
      <c r="AA156" s="37"/>
      <c r="AB156" s="38" t="str">
        <f aca="false">IF(OR(AA156="",J156=""),"",AA156*J156)</f>
        <v/>
      </c>
      <c r="AC156" s="35"/>
      <c r="AD156" s="35"/>
      <c r="AE156" s="36"/>
      <c r="AF156" s="34" t="str">
        <f aca="true">IF(OR(D156="",R156="Cancelled"),"",IF(H156="","NO QTY",IF(AND(L156="Buy",E156=""),"NO PART NO",IF(AND(W156&lt;&gt;"",NOT(OR(R156="Received",R156="NSW Purchased")),W156&lt;TODAY()),"OVERDUE",IF(AND(W156&lt;&gt;"",Q156&lt;&gt;"",W156&gt;Q156),"LATE vs REQ",IF(AND(R156="Finalized – Not Purchased",T156=""),"NEED PR",IF(AND(Y156&lt;&gt;"",Y156&lt;J156),"SHORT","")))))))</f>
        <v/>
      </c>
      <c r="AG156" s="35"/>
    </row>
    <row r="157" customFormat="false" ht="15" hidden="false" customHeight="false" outlineLevel="0" collapsed="false">
      <c r="A157" s="34" t="str">
        <f aca="false">IF(B157="","",LEFT(B157,3)&amp;"-"&amp;TEXT(COUNTIF(B$11:B157,B157),"00"))</f>
        <v/>
      </c>
      <c r="B157" s="35"/>
      <c r="C157" s="35"/>
      <c r="D157" s="35"/>
      <c r="E157" s="35"/>
      <c r="F157" s="35"/>
      <c r="G157" s="35"/>
      <c r="H157" s="35"/>
      <c r="I157" s="35"/>
      <c r="J157" s="34" t="str">
        <f aca="false">IF(H157="","",H157*IF(I157="",1,I157))</f>
        <v/>
      </c>
      <c r="K157" s="35"/>
      <c r="L157" s="35"/>
      <c r="M157" s="35"/>
      <c r="N157" s="35"/>
      <c r="O157" s="35"/>
      <c r="P157" s="36"/>
      <c r="Q157" s="36"/>
      <c r="R157" s="35"/>
      <c r="S157" s="35"/>
      <c r="T157" s="35"/>
      <c r="U157" s="35"/>
      <c r="V157" s="36"/>
      <c r="W157" s="36"/>
      <c r="X157" s="35"/>
      <c r="Y157" s="35"/>
      <c r="Z157" s="36"/>
      <c r="AA157" s="37"/>
      <c r="AB157" s="38" t="str">
        <f aca="false">IF(OR(AA157="",J157=""),"",AA157*J157)</f>
        <v/>
      </c>
      <c r="AC157" s="35"/>
      <c r="AD157" s="35"/>
      <c r="AE157" s="36"/>
      <c r="AF157" s="34" t="str">
        <f aca="true">IF(OR(D157="",R157="Cancelled"),"",IF(H157="","NO QTY",IF(AND(L157="Buy",E157=""),"NO PART NO",IF(AND(W157&lt;&gt;"",NOT(OR(R157="Received",R157="NSW Purchased")),W157&lt;TODAY()),"OVERDUE",IF(AND(W157&lt;&gt;"",Q157&lt;&gt;"",W157&gt;Q157),"LATE vs REQ",IF(AND(R157="Finalized – Not Purchased",T157=""),"NEED PR",IF(AND(Y157&lt;&gt;"",Y157&lt;J157),"SHORT","")))))))</f>
        <v/>
      </c>
      <c r="AG157" s="35"/>
    </row>
    <row r="158" customFormat="false" ht="15" hidden="false" customHeight="false" outlineLevel="0" collapsed="false">
      <c r="A158" s="34" t="str">
        <f aca="false">IF(B158="","",LEFT(B158,3)&amp;"-"&amp;TEXT(COUNTIF(B$11:B158,B158),"00"))</f>
        <v/>
      </c>
      <c r="B158" s="35"/>
      <c r="C158" s="35"/>
      <c r="D158" s="35"/>
      <c r="E158" s="35"/>
      <c r="F158" s="35"/>
      <c r="G158" s="35"/>
      <c r="H158" s="35"/>
      <c r="I158" s="35"/>
      <c r="J158" s="34" t="str">
        <f aca="false">IF(H158="","",H158*IF(I158="",1,I158))</f>
        <v/>
      </c>
      <c r="K158" s="35"/>
      <c r="L158" s="35"/>
      <c r="M158" s="35"/>
      <c r="N158" s="35"/>
      <c r="O158" s="35"/>
      <c r="P158" s="36"/>
      <c r="Q158" s="36"/>
      <c r="R158" s="35"/>
      <c r="S158" s="35"/>
      <c r="T158" s="35"/>
      <c r="U158" s="35"/>
      <c r="V158" s="36"/>
      <c r="W158" s="36"/>
      <c r="X158" s="35"/>
      <c r="Y158" s="35"/>
      <c r="Z158" s="36"/>
      <c r="AA158" s="37"/>
      <c r="AB158" s="38" t="str">
        <f aca="false">IF(OR(AA158="",J158=""),"",AA158*J158)</f>
        <v/>
      </c>
      <c r="AC158" s="35"/>
      <c r="AD158" s="35"/>
      <c r="AE158" s="36"/>
      <c r="AF158" s="34" t="str">
        <f aca="true">IF(OR(D158="",R158="Cancelled"),"",IF(H158="","NO QTY",IF(AND(L158="Buy",E158=""),"NO PART NO",IF(AND(W158&lt;&gt;"",NOT(OR(R158="Received",R158="NSW Purchased")),W158&lt;TODAY()),"OVERDUE",IF(AND(W158&lt;&gt;"",Q158&lt;&gt;"",W158&gt;Q158),"LATE vs REQ",IF(AND(R158="Finalized – Not Purchased",T158=""),"NEED PR",IF(AND(Y158&lt;&gt;"",Y158&lt;J158),"SHORT","")))))))</f>
        <v/>
      </c>
      <c r="AG158" s="35"/>
    </row>
    <row r="159" customFormat="false" ht="15" hidden="false" customHeight="false" outlineLevel="0" collapsed="false">
      <c r="A159" s="34" t="str">
        <f aca="false">IF(B159="","",LEFT(B159,3)&amp;"-"&amp;TEXT(COUNTIF(B$11:B159,B159),"00"))</f>
        <v/>
      </c>
      <c r="B159" s="35"/>
      <c r="C159" s="35"/>
      <c r="D159" s="35"/>
      <c r="E159" s="35"/>
      <c r="F159" s="35"/>
      <c r="G159" s="35"/>
      <c r="H159" s="35"/>
      <c r="I159" s="35"/>
      <c r="J159" s="34" t="str">
        <f aca="false">IF(H159="","",H159*IF(I159="",1,I159))</f>
        <v/>
      </c>
      <c r="K159" s="35"/>
      <c r="L159" s="35"/>
      <c r="M159" s="35"/>
      <c r="N159" s="35"/>
      <c r="O159" s="35"/>
      <c r="P159" s="36"/>
      <c r="Q159" s="36"/>
      <c r="R159" s="35"/>
      <c r="S159" s="35"/>
      <c r="T159" s="35"/>
      <c r="U159" s="35"/>
      <c r="V159" s="36"/>
      <c r="W159" s="36"/>
      <c r="X159" s="35"/>
      <c r="Y159" s="35"/>
      <c r="Z159" s="36"/>
      <c r="AA159" s="37"/>
      <c r="AB159" s="38" t="str">
        <f aca="false">IF(OR(AA159="",J159=""),"",AA159*J159)</f>
        <v/>
      </c>
      <c r="AC159" s="35"/>
      <c r="AD159" s="35"/>
      <c r="AE159" s="36"/>
      <c r="AF159" s="34" t="str">
        <f aca="true">IF(OR(D159="",R159="Cancelled"),"",IF(H159="","NO QTY",IF(AND(L159="Buy",E159=""),"NO PART NO",IF(AND(W159&lt;&gt;"",NOT(OR(R159="Received",R159="NSW Purchased")),W159&lt;TODAY()),"OVERDUE",IF(AND(W159&lt;&gt;"",Q159&lt;&gt;"",W159&gt;Q159),"LATE vs REQ",IF(AND(R159="Finalized – Not Purchased",T159=""),"NEED PR",IF(AND(Y159&lt;&gt;"",Y159&lt;J159),"SHORT","")))))))</f>
        <v/>
      </c>
      <c r="AG159" s="35"/>
    </row>
    <row r="160" customFormat="false" ht="15" hidden="false" customHeight="false" outlineLevel="0" collapsed="false">
      <c r="A160" s="34" t="str">
        <f aca="false">IF(B160="","",LEFT(B160,3)&amp;"-"&amp;TEXT(COUNTIF(B$11:B160,B160),"00"))</f>
        <v/>
      </c>
      <c r="B160" s="35"/>
      <c r="C160" s="35"/>
      <c r="D160" s="35"/>
      <c r="E160" s="35"/>
      <c r="F160" s="35"/>
      <c r="G160" s="35"/>
      <c r="H160" s="35"/>
      <c r="I160" s="35"/>
      <c r="J160" s="34" t="str">
        <f aca="false">IF(H160="","",H160*IF(I160="",1,I160))</f>
        <v/>
      </c>
      <c r="K160" s="35"/>
      <c r="L160" s="35"/>
      <c r="M160" s="35"/>
      <c r="N160" s="35"/>
      <c r="O160" s="35"/>
      <c r="P160" s="36"/>
      <c r="Q160" s="36"/>
      <c r="R160" s="35"/>
      <c r="S160" s="35"/>
      <c r="T160" s="35"/>
      <c r="U160" s="35"/>
      <c r="V160" s="36"/>
      <c r="W160" s="36"/>
      <c r="X160" s="35"/>
      <c r="Y160" s="35"/>
      <c r="Z160" s="36"/>
      <c r="AA160" s="37"/>
      <c r="AB160" s="38" t="str">
        <f aca="false">IF(OR(AA160="",J160=""),"",AA160*J160)</f>
        <v/>
      </c>
      <c r="AC160" s="35"/>
      <c r="AD160" s="35"/>
      <c r="AE160" s="36"/>
      <c r="AF160" s="34" t="str">
        <f aca="true">IF(OR(D160="",R160="Cancelled"),"",IF(H160="","NO QTY",IF(AND(L160="Buy",E160=""),"NO PART NO",IF(AND(W160&lt;&gt;"",NOT(OR(R160="Received",R160="NSW Purchased")),W160&lt;TODAY()),"OVERDUE",IF(AND(W160&lt;&gt;"",Q160&lt;&gt;"",W160&gt;Q160),"LATE vs REQ",IF(AND(R160="Finalized – Not Purchased",T160=""),"NEED PR",IF(AND(Y160&lt;&gt;"",Y160&lt;J160),"SHORT","")))))))</f>
        <v/>
      </c>
      <c r="AG160" s="35"/>
    </row>
    <row r="161" customFormat="false" ht="15" hidden="false" customHeight="false" outlineLevel="0" collapsed="false">
      <c r="A161" s="34" t="str">
        <f aca="false">IF(B161="","",LEFT(B161,3)&amp;"-"&amp;TEXT(COUNTIF(B$11:B161,B161),"00"))</f>
        <v/>
      </c>
      <c r="B161" s="35"/>
      <c r="C161" s="35"/>
      <c r="D161" s="35"/>
      <c r="E161" s="35"/>
      <c r="F161" s="35"/>
      <c r="G161" s="35"/>
      <c r="H161" s="35"/>
      <c r="I161" s="35"/>
      <c r="J161" s="34" t="str">
        <f aca="false">IF(H161="","",H161*IF(I161="",1,I161))</f>
        <v/>
      </c>
      <c r="K161" s="35"/>
      <c r="L161" s="35"/>
      <c r="M161" s="35"/>
      <c r="N161" s="35"/>
      <c r="O161" s="35"/>
      <c r="P161" s="36"/>
      <c r="Q161" s="36"/>
      <c r="R161" s="35"/>
      <c r="S161" s="35"/>
      <c r="T161" s="35"/>
      <c r="U161" s="35"/>
      <c r="V161" s="36"/>
      <c r="W161" s="36"/>
      <c r="X161" s="35"/>
      <c r="Y161" s="35"/>
      <c r="Z161" s="36"/>
      <c r="AA161" s="37"/>
      <c r="AB161" s="38" t="str">
        <f aca="false">IF(OR(AA161="",J161=""),"",AA161*J161)</f>
        <v/>
      </c>
      <c r="AC161" s="35"/>
      <c r="AD161" s="35"/>
      <c r="AE161" s="36"/>
      <c r="AF161" s="34" t="str">
        <f aca="true">IF(OR(D161="",R161="Cancelled"),"",IF(H161="","NO QTY",IF(AND(L161="Buy",E161=""),"NO PART NO",IF(AND(W161&lt;&gt;"",NOT(OR(R161="Received",R161="NSW Purchased")),W161&lt;TODAY()),"OVERDUE",IF(AND(W161&lt;&gt;"",Q161&lt;&gt;"",W161&gt;Q161),"LATE vs REQ",IF(AND(R161="Finalized – Not Purchased",T161=""),"NEED PR",IF(AND(Y161&lt;&gt;"",Y161&lt;J161),"SHORT","")))))))</f>
        <v/>
      </c>
      <c r="AG161" s="35"/>
    </row>
    <row r="162" customFormat="false" ht="15" hidden="false" customHeight="false" outlineLevel="0" collapsed="false">
      <c r="A162" s="34" t="str">
        <f aca="false">IF(B162="","",LEFT(B162,3)&amp;"-"&amp;TEXT(COUNTIF(B$11:B162,B162),"00"))</f>
        <v/>
      </c>
      <c r="B162" s="35"/>
      <c r="C162" s="35"/>
      <c r="D162" s="35"/>
      <c r="E162" s="35"/>
      <c r="F162" s="35"/>
      <c r="G162" s="35"/>
      <c r="H162" s="35"/>
      <c r="I162" s="35"/>
      <c r="J162" s="34" t="str">
        <f aca="false">IF(H162="","",H162*IF(I162="",1,I162))</f>
        <v/>
      </c>
      <c r="K162" s="35"/>
      <c r="L162" s="35"/>
      <c r="M162" s="35"/>
      <c r="N162" s="35"/>
      <c r="O162" s="35"/>
      <c r="P162" s="36"/>
      <c r="Q162" s="36"/>
      <c r="R162" s="35"/>
      <c r="S162" s="35"/>
      <c r="T162" s="35"/>
      <c r="U162" s="35"/>
      <c r="V162" s="36"/>
      <c r="W162" s="36"/>
      <c r="X162" s="35"/>
      <c r="Y162" s="35"/>
      <c r="Z162" s="36"/>
      <c r="AA162" s="37"/>
      <c r="AB162" s="38" t="str">
        <f aca="false">IF(OR(AA162="",J162=""),"",AA162*J162)</f>
        <v/>
      </c>
      <c r="AC162" s="35"/>
      <c r="AD162" s="35"/>
      <c r="AE162" s="36"/>
      <c r="AF162" s="34" t="str">
        <f aca="true">IF(OR(D162="",R162="Cancelled"),"",IF(H162="","NO QTY",IF(AND(L162="Buy",E162=""),"NO PART NO",IF(AND(W162&lt;&gt;"",NOT(OR(R162="Received",R162="NSW Purchased")),W162&lt;TODAY()),"OVERDUE",IF(AND(W162&lt;&gt;"",Q162&lt;&gt;"",W162&gt;Q162),"LATE vs REQ",IF(AND(R162="Finalized – Not Purchased",T162=""),"NEED PR",IF(AND(Y162&lt;&gt;"",Y162&lt;J162),"SHORT","")))))))</f>
        <v/>
      </c>
      <c r="AG162" s="35"/>
    </row>
    <row r="163" customFormat="false" ht="15" hidden="false" customHeight="false" outlineLevel="0" collapsed="false">
      <c r="A163" s="34" t="str">
        <f aca="false">IF(B163="","",LEFT(B163,3)&amp;"-"&amp;TEXT(COUNTIF(B$11:B163,B163),"00"))</f>
        <v/>
      </c>
      <c r="B163" s="35"/>
      <c r="C163" s="35"/>
      <c r="D163" s="35"/>
      <c r="E163" s="35"/>
      <c r="F163" s="35"/>
      <c r="G163" s="35"/>
      <c r="H163" s="35"/>
      <c r="I163" s="35"/>
      <c r="J163" s="34" t="str">
        <f aca="false">IF(H163="","",H163*IF(I163="",1,I163))</f>
        <v/>
      </c>
      <c r="K163" s="35"/>
      <c r="L163" s="35"/>
      <c r="M163" s="35"/>
      <c r="N163" s="35"/>
      <c r="O163" s="35"/>
      <c r="P163" s="36"/>
      <c r="Q163" s="36"/>
      <c r="R163" s="35"/>
      <c r="S163" s="35"/>
      <c r="T163" s="35"/>
      <c r="U163" s="35"/>
      <c r="V163" s="36"/>
      <c r="W163" s="36"/>
      <c r="X163" s="35"/>
      <c r="Y163" s="35"/>
      <c r="Z163" s="36"/>
      <c r="AA163" s="37"/>
      <c r="AB163" s="38" t="str">
        <f aca="false">IF(OR(AA163="",J163=""),"",AA163*J163)</f>
        <v/>
      </c>
      <c r="AC163" s="35"/>
      <c r="AD163" s="35"/>
      <c r="AE163" s="36"/>
      <c r="AF163" s="34" t="str">
        <f aca="true">IF(OR(D163="",R163="Cancelled"),"",IF(H163="","NO QTY",IF(AND(L163="Buy",E163=""),"NO PART NO",IF(AND(W163&lt;&gt;"",NOT(OR(R163="Received",R163="NSW Purchased")),W163&lt;TODAY()),"OVERDUE",IF(AND(W163&lt;&gt;"",Q163&lt;&gt;"",W163&gt;Q163),"LATE vs REQ",IF(AND(R163="Finalized – Not Purchased",T163=""),"NEED PR",IF(AND(Y163&lt;&gt;"",Y163&lt;J163),"SHORT","")))))))</f>
        <v/>
      </c>
      <c r="AG163" s="35"/>
    </row>
    <row r="164" customFormat="false" ht="15" hidden="false" customHeight="false" outlineLevel="0" collapsed="false">
      <c r="A164" s="34" t="str">
        <f aca="false">IF(B164="","",LEFT(B164,3)&amp;"-"&amp;TEXT(COUNTIF(B$11:B164,B164),"00"))</f>
        <v/>
      </c>
      <c r="B164" s="35"/>
      <c r="C164" s="35"/>
      <c r="D164" s="35"/>
      <c r="E164" s="35"/>
      <c r="F164" s="35"/>
      <c r="G164" s="35"/>
      <c r="H164" s="35"/>
      <c r="I164" s="35"/>
      <c r="J164" s="34" t="str">
        <f aca="false">IF(H164="","",H164*IF(I164="",1,I164))</f>
        <v/>
      </c>
      <c r="K164" s="35"/>
      <c r="L164" s="35"/>
      <c r="M164" s="35"/>
      <c r="N164" s="35"/>
      <c r="O164" s="35"/>
      <c r="P164" s="36"/>
      <c r="Q164" s="36"/>
      <c r="R164" s="35"/>
      <c r="S164" s="35"/>
      <c r="T164" s="35"/>
      <c r="U164" s="35"/>
      <c r="V164" s="36"/>
      <c r="W164" s="36"/>
      <c r="X164" s="35"/>
      <c r="Y164" s="35"/>
      <c r="Z164" s="36"/>
      <c r="AA164" s="37"/>
      <c r="AB164" s="38" t="str">
        <f aca="false">IF(OR(AA164="",J164=""),"",AA164*J164)</f>
        <v/>
      </c>
      <c r="AC164" s="35"/>
      <c r="AD164" s="35"/>
      <c r="AE164" s="36"/>
      <c r="AF164" s="34" t="str">
        <f aca="true">IF(OR(D164="",R164="Cancelled"),"",IF(H164="","NO QTY",IF(AND(L164="Buy",E164=""),"NO PART NO",IF(AND(W164&lt;&gt;"",NOT(OR(R164="Received",R164="NSW Purchased")),W164&lt;TODAY()),"OVERDUE",IF(AND(W164&lt;&gt;"",Q164&lt;&gt;"",W164&gt;Q164),"LATE vs REQ",IF(AND(R164="Finalized – Not Purchased",T164=""),"NEED PR",IF(AND(Y164&lt;&gt;"",Y164&lt;J164),"SHORT","")))))))</f>
        <v/>
      </c>
      <c r="AG164" s="35"/>
    </row>
    <row r="165" customFormat="false" ht="15" hidden="false" customHeight="false" outlineLevel="0" collapsed="false">
      <c r="A165" s="34" t="str">
        <f aca="false">IF(B165="","",LEFT(B165,3)&amp;"-"&amp;TEXT(COUNTIF(B$11:B165,B165),"00"))</f>
        <v/>
      </c>
      <c r="B165" s="35"/>
      <c r="C165" s="35"/>
      <c r="D165" s="35"/>
      <c r="E165" s="35"/>
      <c r="F165" s="35"/>
      <c r="G165" s="35"/>
      <c r="H165" s="35"/>
      <c r="I165" s="35"/>
      <c r="J165" s="34" t="str">
        <f aca="false">IF(H165="","",H165*IF(I165="",1,I165))</f>
        <v/>
      </c>
      <c r="K165" s="35"/>
      <c r="L165" s="35"/>
      <c r="M165" s="35"/>
      <c r="N165" s="35"/>
      <c r="O165" s="35"/>
      <c r="P165" s="36"/>
      <c r="Q165" s="36"/>
      <c r="R165" s="35"/>
      <c r="S165" s="35"/>
      <c r="T165" s="35"/>
      <c r="U165" s="35"/>
      <c r="V165" s="36"/>
      <c r="W165" s="36"/>
      <c r="X165" s="35"/>
      <c r="Y165" s="35"/>
      <c r="Z165" s="36"/>
      <c r="AA165" s="37"/>
      <c r="AB165" s="38" t="str">
        <f aca="false">IF(OR(AA165="",J165=""),"",AA165*J165)</f>
        <v/>
      </c>
      <c r="AC165" s="35"/>
      <c r="AD165" s="35"/>
      <c r="AE165" s="36"/>
      <c r="AF165" s="34" t="str">
        <f aca="true">IF(OR(D165="",R165="Cancelled"),"",IF(H165="","NO QTY",IF(AND(L165="Buy",E165=""),"NO PART NO",IF(AND(W165&lt;&gt;"",NOT(OR(R165="Received",R165="NSW Purchased")),W165&lt;TODAY()),"OVERDUE",IF(AND(W165&lt;&gt;"",Q165&lt;&gt;"",W165&gt;Q165),"LATE vs REQ",IF(AND(R165="Finalized – Not Purchased",T165=""),"NEED PR",IF(AND(Y165&lt;&gt;"",Y165&lt;J165),"SHORT","")))))))</f>
        <v/>
      </c>
      <c r="AG165" s="35"/>
    </row>
    <row r="166" customFormat="false" ht="15" hidden="false" customHeight="false" outlineLevel="0" collapsed="false">
      <c r="A166" s="34" t="str">
        <f aca="false">IF(B166="","",LEFT(B166,3)&amp;"-"&amp;TEXT(COUNTIF(B$11:B166,B166),"00"))</f>
        <v/>
      </c>
      <c r="B166" s="35"/>
      <c r="C166" s="35"/>
      <c r="D166" s="35"/>
      <c r="E166" s="35"/>
      <c r="F166" s="35"/>
      <c r="G166" s="35"/>
      <c r="H166" s="35"/>
      <c r="I166" s="35"/>
      <c r="J166" s="34" t="str">
        <f aca="false">IF(H166="","",H166*IF(I166="",1,I166))</f>
        <v/>
      </c>
      <c r="K166" s="35"/>
      <c r="L166" s="35"/>
      <c r="M166" s="35"/>
      <c r="N166" s="35"/>
      <c r="O166" s="35"/>
      <c r="P166" s="36"/>
      <c r="Q166" s="36"/>
      <c r="R166" s="35"/>
      <c r="S166" s="35"/>
      <c r="T166" s="35"/>
      <c r="U166" s="35"/>
      <c r="V166" s="36"/>
      <c r="W166" s="36"/>
      <c r="X166" s="35"/>
      <c r="Y166" s="35"/>
      <c r="Z166" s="36"/>
      <c r="AA166" s="37"/>
      <c r="AB166" s="38" t="str">
        <f aca="false">IF(OR(AA166="",J166=""),"",AA166*J166)</f>
        <v/>
      </c>
      <c r="AC166" s="35"/>
      <c r="AD166" s="35"/>
      <c r="AE166" s="36"/>
      <c r="AF166" s="34" t="str">
        <f aca="true">IF(OR(D166="",R166="Cancelled"),"",IF(H166="","NO QTY",IF(AND(L166="Buy",E166=""),"NO PART NO",IF(AND(W166&lt;&gt;"",NOT(OR(R166="Received",R166="NSW Purchased")),W166&lt;TODAY()),"OVERDUE",IF(AND(W166&lt;&gt;"",Q166&lt;&gt;"",W166&gt;Q166),"LATE vs REQ",IF(AND(R166="Finalized – Not Purchased",T166=""),"NEED PR",IF(AND(Y166&lt;&gt;"",Y166&lt;J166),"SHORT","")))))))</f>
        <v/>
      </c>
      <c r="AG166" s="35"/>
    </row>
    <row r="167" customFormat="false" ht="15" hidden="false" customHeight="false" outlineLevel="0" collapsed="false">
      <c r="A167" s="34" t="str">
        <f aca="false">IF(B167="","",LEFT(B167,3)&amp;"-"&amp;TEXT(COUNTIF(B$11:B167,B167),"00"))</f>
        <v/>
      </c>
      <c r="B167" s="35"/>
      <c r="C167" s="35"/>
      <c r="D167" s="35"/>
      <c r="E167" s="35"/>
      <c r="F167" s="35"/>
      <c r="G167" s="35"/>
      <c r="H167" s="35"/>
      <c r="I167" s="35"/>
      <c r="J167" s="34" t="str">
        <f aca="false">IF(H167="","",H167*IF(I167="",1,I167))</f>
        <v/>
      </c>
      <c r="K167" s="35"/>
      <c r="L167" s="35"/>
      <c r="M167" s="35"/>
      <c r="N167" s="35"/>
      <c r="O167" s="35"/>
      <c r="P167" s="36"/>
      <c r="Q167" s="36"/>
      <c r="R167" s="35"/>
      <c r="S167" s="35"/>
      <c r="T167" s="35"/>
      <c r="U167" s="35"/>
      <c r="V167" s="36"/>
      <c r="W167" s="36"/>
      <c r="X167" s="35"/>
      <c r="Y167" s="35"/>
      <c r="Z167" s="36"/>
      <c r="AA167" s="37"/>
      <c r="AB167" s="38" t="str">
        <f aca="false">IF(OR(AA167="",J167=""),"",AA167*J167)</f>
        <v/>
      </c>
      <c r="AC167" s="35"/>
      <c r="AD167" s="35"/>
      <c r="AE167" s="36"/>
      <c r="AF167" s="34" t="str">
        <f aca="true">IF(OR(D167="",R167="Cancelled"),"",IF(H167="","NO QTY",IF(AND(L167="Buy",E167=""),"NO PART NO",IF(AND(W167&lt;&gt;"",NOT(OR(R167="Received",R167="NSW Purchased")),W167&lt;TODAY()),"OVERDUE",IF(AND(W167&lt;&gt;"",Q167&lt;&gt;"",W167&gt;Q167),"LATE vs REQ",IF(AND(R167="Finalized – Not Purchased",T167=""),"NEED PR",IF(AND(Y167&lt;&gt;"",Y167&lt;J167),"SHORT","")))))))</f>
        <v/>
      </c>
      <c r="AG167" s="35"/>
    </row>
    <row r="168" customFormat="false" ht="15" hidden="false" customHeight="false" outlineLevel="0" collapsed="false">
      <c r="A168" s="34" t="str">
        <f aca="false">IF(B168="","",LEFT(B168,3)&amp;"-"&amp;TEXT(COUNTIF(B$11:B168,B168),"00"))</f>
        <v/>
      </c>
      <c r="B168" s="35"/>
      <c r="C168" s="35"/>
      <c r="D168" s="35"/>
      <c r="E168" s="35"/>
      <c r="F168" s="35"/>
      <c r="G168" s="35"/>
      <c r="H168" s="35"/>
      <c r="I168" s="35"/>
      <c r="J168" s="34" t="str">
        <f aca="false">IF(H168="","",H168*IF(I168="",1,I168))</f>
        <v/>
      </c>
      <c r="K168" s="35"/>
      <c r="L168" s="35"/>
      <c r="M168" s="35"/>
      <c r="N168" s="35"/>
      <c r="O168" s="35"/>
      <c r="P168" s="36"/>
      <c r="Q168" s="36"/>
      <c r="R168" s="35"/>
      <c r="S168" s="35"/>
      <c r="T168" s="35"/>
      <c r="U168" s="35"/>
      <c r="V168" s="36"/>
      <c r="W168" s="36"/>
      <c r="X168" s="35"/>
      <c r="Y168" s="35"/>
      <c r="Z168" s="36"/>
      <c r="AA168" s="37"/>
      <c r="AB168" s="38" t="str">
        <f aca="false">IF(OR(AA168="",J168=""),"",AA168*J168)</f>
        <v/>
      </c>
      <c r="AC168" s="35"/>
      <c r="AD168" s="35"/>
      <c r="AE168" s="36"/>
      <c r="AF168" s="34" t="str">
        <f aca="true">IF(OR(D168="",R168="Cancelled"),"",IF(H168="","NO QTY",IF(AND(L168="Buy",E168=""),"NO PART NO",IF(AND(W168&lt;&gt;"",NOT(OR(R168="Received",R168="NSW Purchased")),W168&lt;TODAY()),"OVERDUE",IF(AND(W168&lt;&gt;"",Q168&lt;&gt;"",W168&gt;Q168),"LATE vs REQ",IF(AND(R168="Finalized – Not Purchased",T168=""),"NEED PR",IF(AND(Y168&lt;&gt;"",Y168&lt;J168),"SHORT","")))))))</f>
        <v/>
      </c>
      <c r="AG168" s="35"/>
    </row>
    <row r="169" customFormat="false" ht="15" hidden="false" customHeight="false" outlineLevel="0" collapsed="false">
      <c r="A169" s="34" t="str">
        <f aca="false">IF(B169="","",LEFT(B169,3)&amp;"-"&amp;TEXT(COUNTIF(B$11:B169,B169),"00"))</f>
        <v/>
      </c>
      <c r="B169" s="35"/>
      <c r="C169" s="35"/>
      <c r="D169" s="35"/>
      <c r="E169" s="35"/>
      <c r="F169" s="35"/>
      <c r="G169" s="35"/>
      <c r="H169" s="35"/>
      <c r="I169" s="35"/>
      <c r="J169" s="34" t="str">
        <f aca="false">IF(H169="","",H169*IF(I169="",1,I169))</f>
        <v/>
      </c>
      <c r="K169" s="35"/>
      <c r="L169" s="35"/>
      <c r="M169" s="35"/>
      <c r="N169" s="35"/>
      <c r="O169" s="35"/>
      <c r="P169" s="36"/>
      <c r="Q169" s="36"/>
      <c r="R169" s="35"/>
      <c r="S169" s="35"/>
      <c r="T169" s="35"/>
      <c r="U169" s="35"/>
      <c r="V169" s="36"/>
      <c r="W169" s="36"/>
      <c r="X169" s="35"/>
      <c r="Y169" s="35"/>
      <c r="Z169" s="36"/>
      <c r="AA169" s="37"/>
      <c r="AB169" s="38" t="str">
        <f aca="false">IF(OR(AA169="",J169=""),"",AA169*J169)</f>
        <v/>
      </c>
      <c r="AC169" s="35"/>
      <c r="AD169" s="35"/>
      <c r="AE169" s="36"/>
      <c r="AF169" s="34" t="str">
        <f aca="true">IF(OR(D169="",R169="Cancelled"),"",IF(H169="","NO QTY",IF(AND(L169="Buy",E169=""),"NO PART NO",IF(AND(W169&lt;&gt;"",NOT(OR(R169="Received",R169="NSW Purchased")),W169&lt;TODAY()),"OVERDUE",IF(AND(W169&lt;&gt;"",Q169&lt;&gt;"",W169&gt;Q169),"LATE vs REQ",IF(AND(R169="Finalized – Not Purchased",T169=""),"NEED PR",IF(AND(Y169&lt;&gt;"",Y169&lt;J169),"SHORT","")))))))</f>
        <v/>
      </c>
      <c r="AG169" s="35"/>
    </row>
    <row r="170" customFormat="false" ht="15" hidden="false" customHeight="false" outlineLevel="0" collapsed="false">
      <c r="A170" s="34" t="str">
        <f aca="false">IF(B170="","",LEFT(B170,3)&amp;"-"&amp;TEXT(COUNTIF(B$11:B170,B170),"00"))</f>
        <v/>
      </c>
      <c r="B170" s="35"/>
      <c r="C170" s="35"/>
      <c r="D170" s="35"/>
      <c r="E170" s="35"/>
      <c r="F170" s="35"/>
      <c r="G170" s="35"/>
      <c r="H170" s="35"/>
      <c r="I170" s="35"/>
      <c r="J170" s="34" t="str">
        <f aca="false">IF(H170="","",H170*IF(I170="",1,I170))</f>
        <v/>
      </c>
      <c r="K170" s="35"/>
      <c r="L170" s="35"/>
      <c r="M170" s="35"/>
      <c r="N170" s="35"/>
      <c r="O170" s="35"/>
      <c r="P170" s="36"/>
      <c r="Q170" s="36"/>
      <c r="R170" s="35"/>
      <c r="S170" s="35"/>
      <c r="T170" s="35"/>
      <c r="U170" s="35"/>
      <c r="V170" s="36"/>
      <c r="W170" s="36"/>
      <c r="X170" s="35"/>
      <c r="Y170" s="35"/>
      <c r="Z170" s="36"/>
      <c r="AA170" s="37"/>
      <c r="AB170" s="38" t="str">
        <f aca="false">IF(OR(AA170="",J170=""),"",AA170*J170)</f>
        <v/>
      </c>
      <c r="AC170" s="35"/>
      <c r="AD170" s="35"/>
      <c r="AE170" s="36"/>
      <c r="AF170" s="34" t="str">
        <f aca="true">IF(OR(D170="",R170="Cancelled"),"",IF(H170="","NO QTY",IF(AND(L170="Buy",E170=""),"NO PART NO",IF(AND(W170&lt;&gt;"",NOT(OR(R170="Received",R170="NSW Purchased")),W170&lt;TODAY()),"OVERDUE",IF(AND(W170&lt;&gt;"",Q170&lt;&gt;"",W170&gt;Q170),"LATE vs REQ",IF(AND(R170="Finalized – Not Purchased",T170=""),"NEED PR",IF(AND(Y170&lt;&gt;"",Y170&lt;J170),"SHORT","")))))))</f>
        <v/>
      </c>
      <c r="AG170" s="35"/>
    </row>
    <row r="171" customFormat="false" ht="15" hidden="false" customHeight="false" outlineLevel="0" collapsed="false">
      <c r="A171" s="34" t="str">
        <f aca="false">IF(B171="","",LEFT(B171,3)&amp;"-"&amp;TEXT(COUNTIF(B$11:B171,B171),"00"))</f>
        <v/>
      </c>
      <c r="B171" s="35"/>
      <c r="C171" s="35"/>
      <c r="D171" s="35"/>
      <c r="E171" s="35"/>
      <c r="F171" s="35"/>
      <c r="G171" s="35"/>
      <c r="H171" s="35"/>
      <c r="I171" s="35"/>
      <c r="J171" s="34" t="str">
        <f aca="false">IF(H171="","",H171*IF(I171="",1,I171))</f>
        <v/>
      </c>
      <c r="K171" s="35"/>
      <c r="L171" s="35"/>
      <c r="M171" s="35"/>
      <c r="N171" s="35"/>
      <c r="O171" s="35"/>
      <c r="P171" s="36"/>
      <c r="Q171" s="36"/>
      <c r="R171" s="35"/>
      <c r="S171" s="35"/>
      <c r="T171" s="35"/>
      <c r="U171" s="35"/>
      <c r="V171" s="36"/>
      <c r="W171" s="36"/>
      <c r="X171" s="35"/>
      <c r="Y171" s="35"/>
      <c r="Z171" s="36"/>
      <c r="AA171" s="37"/>
      <c r="AB171" s="38" t="str">
        <f aca="false">IF(OR(AA171="",J171=""),"",AA171*J171)</f>
        <v/>
      </c>
      <c r="AC171" s="35"/>
      <c r="AD171" s="35"/>
      <c r="AE171" s="36"/>
      <c r="AF171" s="34" t="str">
        <f aca="true">IF(OR(D171="",R171="Cancelled"),"",IF(H171="","NO QTY",IF(AND(L171="Buy",E171=""),"NO PART NO",IF(AND(W171&lt;&gt;"",NOT(OR(R171="Received",R171="NSW Purchased")),W171&lt;TODAY()),"OVERDUE",IF(AND(W171&lt;&gt;"",Q171&lt;&gt;"",W171&gt;Q171),"LATE vs REQ",IF(AND(R171="Finalized – Not Purchased",T171=""),"NEED PR",IF(AND(Y171&lt;&gt;"",Y171&lt;J171),"SHORT","")))))))</f>
        <v/>
      </c>
      <c r="AG171" s="35"/>
    </row>
    <row r="172" customFormat="false" ht="15" hidden="false" customHeight="false" outlineLevel="0" collapsed="false">
      <c r="A172" s="34" t="str">
        <f aca="false">IF(B172="","",LEFT(B172,3)&amp;"-"&amp;TEXT(COUNTIF(B$11:B172,B172),"00"))</f>
        <v/>
      </c>
      <c r="B172" s="35"/>
      <c r="C172" s="35"/>
      <c r="D172" s="35"/>
      <c r="E172" s="35"/>
      <c r="F172" s="35"/>
      <c r="G172" s="35"/>
      <c r="H172" s="35"/>
      <c r="I172" s="35"/>
      <c r="J172" s="34" t="str">
        <f aca="false">IF(H172="","",H172*IF(I172="",1,I172))</f>
        <v/>
      </c>
      <c r="K172" s="35"/>
      <c r="L172" s="35"/>
      <c r="M172" s="35"/>
      <c r="N172" s="35"/>
      <c r="O172" s="35"/>
      <c r="P172" s="36"/>
      <c r="Q172" s="36"/>
      <c r="R172" s="35"/>
      <c r="S172" s="35"/>
      <c r="T172" s="35"/>
      <c r="U172" s="35"/>
      <c r="V172" s="36"/>
      <c r="W172" s="36"/>
      <c r="X172" s="35"/>
      <c r="Y172" s="35"/>
      <c r="Z172" s="36"/>
      <c r="AA172" s="37"/>
      <c r="AB172" s="38" t="str">
        <f aca="false">IF(OR(AA172="",J172=""),"",AA172*J172)</f>
        <v/>
      </c>
      <c r="AC172" s="35"/>
      <c r="AD172" s="35"/>
      <c r="AE172" s="36"/>
      <c r="AF172" s="34" t="str">
        <f aca="true">IF(OR(D172="",R172="Cancelled"),"",IF(H172="","NO QTY",IF(AND(L172="Buy",E172=""),"NO PART NO",IF(AND(W172&lt;&gt;"",NOT(OR(R172="Received",R172="NSW Purchased")),W172&lt;TODAY()),"OVERDUE",IF(AND(W172&lt;&gt;"",Q172&lt;&gt;"",W172&gt;Q172),"LATE vs REQ",IF(AND(R172="Finalized – Not Purchased",T172=""),"NEED PR",IF(AND(Y172&lt;&gt;"",Y172&lt;J172),"SHORT","")))))))</f>
        <v/>
      </c>
      <c r="AG172" s="35"/>
    </row>
    <row r="173" customFormat="false" ht="15" hidden="false" customHeight="false" outlineLevel="0" collapsed="false">
      <c r="A173" s="34" t="str">
        <f aca="false">IF(B173="","",LEFT(B173,3)&amp;"-"&amp;TEXT(COUNTIF(B$11:B173,B173),"00"))</f>
        <v/>
      </c>
      <c r="B173" s="35"/>
      <c r="C173" s="35"/>
      <c r="D173" s="35"/>
      <c r="E173" s="35"/>
      <c r="F173" s="35"/>
      <c r="G173" s="35"/>
      <c r="H173" s="35"/>
      <c r="I173" s="35"/>
      <c r="J173" s="34" t="str">
        <f aca="false">IF(H173="","",H173*IF(I173="",1,I173))</f>
        <v/>
      </c>
      <c r="K173" s="35"/>
      <c r="L173" s="35"/>
      <c r="M173" s="35"/>
      <c r="N173" s="35"/>
      <c r="O173" s="35"/>
      <c r="P173" s="36"/>
      <c r="Q173" s="36"/>
      <c r="R173" s="35"/>
      <c r="S173" s="35"/>
      <c r="T173" s="35"/>
      <c r="U173" s="35"/>
      <c r="V173" s="36"/>
      <c r="W173" s="36"/>
      <c r="X173" s="35"/>
      <c r="Y173" s="35"/>
      <c r="Z173" s="36"/>
      <c r="AA173" s="37"/>
      <c r="AB173" s="38" t="str">
        <f aca="false">IF(OR(AA173="",J173=""),"",AA173*J173)</f>
        <v/>
      </c>
      <c r="AC173" s="35"/>
      <c r="AD173" s="35"/>
      <c r="AE173" s="36"/>
      <c r="AF173" s="34" t="str">
        <f aca="true">IF(OR(D173="",R173="Cancelled"),"",IF(H173="","NO QTY",IF(AND(L173="Buy",E173=""),"NO PART NO",IF(AND(W173&lt;&gt;"",NOT(OR(R173="Received",R173="NSW Purchased")),W173&lt;TODAY()),"OVERDUE",IF(AND(W173&lt;&gt;"",Q173&lt;&gt;"",W173&gt;Q173),"LATE vs REQ",IF(AND(R173="Finalized – Not Purchased",T173=""),"NEED PR",IF(AND(Y173&lt;&gt;"",Y173&lt;J173),"SHORT","")))))))</f>
        <v/>
      </c>
      <c r="AG173" s="35"/>
    </row>
    <row r="174" customFormat="false" ht="15" hidden="false" customHeight="false" outlineLevel="0" collapsed="false">
      <c r="A174" s="34" t="str">
        <f aca="false">IF(B174="","",LEFT(B174,3)&amp;"-"&amp;TEXT(COUNTIF(B$11:B174,B174),"00"))</f>
        <v/>
      </c>
      <c r="B174" s="35"/>
      <c r="C174" s="35"/>
      <c r="D174" s="35"/>
      <c r="E174" s="35"/>
      <c r="F174" s="35"/>
      <c r="G174" s="35"/>
      <c r="H174" s="35"/>
      <c r="I174" s="35"/>
      <c r="J174" s="34" t="str">
        <f aca="false">IF(H174="","",H174*IF(I174="",1,I174))</f>
        <v/>
      </c>
      <c r="K174" s="35"/>
      <c r="L174" s="35"/>
      <c r="M174" s="35"/>
      <c r="N174" s="35"/>
      <c r="O174" s="35"/>
      <c r="P174" s="36"/>
      <c r="Q174" s="36"/>
      <c r="R174" s="35"/>
      <c r="S174" s="35"/>
      <c r="T174" s="35"/>
      <c r="U174" s="35"/>
      <c r="V174" s="36"/>
      <c r="W174" s="36"/>
      <c r="X174" s="35"/>
      <c r="Y174" s="35"/>
      <c r="Z174" s="36"/>
      <c r="AA174" s="37"/>
      <c r="AB174" s="38" t="str">
        <f aca="false">IF(OR(AA174="",J174=""),"",AA174*J174)</f>
        <v/>
      </c>
      <c r="AC174" s="35"/>
      <c r="AD174" s="35"/>
      <c r="AE174" s="36"/>
      <c r="AF174" s="34" t="str">
        <f aca="true">IF(OR(D174="",R174="Cancelled"),"",IF(H174="","NO QTY",IF(AND(L174="Buy",E174=""),"NO PART NO",IF(AND(W174&lt;&gt;"",NOT(OR(R174="Received",R174="NSW Purchased")),W174&lt;TODAY()),"OVERDUE",IF(AND(W174&lt;&gt;"",Q174&lt;&gt;"",W174&gt;Q174),"LATE vs REQ",IF(AND(R174="Finalized – Not Purchased",T174=""),"NEED PR",IF(AND(Y174&lt;&gt;"",Y174&lt;J174),"SHORT","")))))))</f>
        <v/>
      </c>
      <c r="AG174" s="35"/>
    </row>
    <row r="175" customFormat="false" ht="15" hidden="false" customHeight="false" outlineLevel="0" collapsed="false">
      <c r="A175" s="34" t="str">
        <f aca="false">IF(B175="","",LEFT(B175,3)&amp;"-"&amp;TEXT(COUNTIF(B$11:B175,B175),"00"))</f>
        <v/>
      </c>
      <c r="B175" s="35"/>
      <c r="C175" s="35"/>
      <c r="D175" s="35"/>
      <c r="E175" s="35"/>
      <c r="F175" s="35"/>
      <c r="G175" s="35"/>
      <c r="H175" s="35"/>
      <c r="I175" s="35"/>
      <c r="J175" s="34" t="str">
        <f aca="false">IF(H175="","",H175*IF(I175="",1,I175))</f>
        <v/>
      </c>
      <c r="K175" s="35"/>
      <c r="L175" s="35"/>
      <c r="M175" s="35"/>
      <c r="N175" s="35"/>
      <c r="O175" s="35"/>
      <c r="P175" s="36"/>
      <c r="Q175" s="36"/>
      <c r="R175" s="35"/>
      <c r="S175" s="35"/>
      <c r="T175" s="35"/>
      <c r="U175" s="35"/>
      <c r="V175" s="36"/>
      <c r="W175" s="36"/>
      <c r="X175" s="35"/>
      <c r="Y175" s="35"/>
      <c r="Z175" s="36"/>
      <c r="AA175" s="37"/>
      <c r="AB175" s="38" t="str">
        <f aca="false">IF(OR(AA175="",J175=""),"",AA175*J175)</f>
        <v/>
      </c>
      <c r="AC175" s="35"/>
      <c r="AD175" s="35"/>
      <c r="AE175" s="36"/>
      <c r="AF175" s="34" t="str">
        <f aca="true">IF(OR(D175="",R175="Cancelled"),"",IF(H175="","NO QTY",IF(AND(L175="Buy",E175=""),"NO PART NO",IF(AND(W175&lt;&gt;"",NOT(OR(R175="Received",R175="NSW Purchased")),W175&lt;TODAY()),"OVERDUE",IF(AND(W175&lt;&gt;"",Q175&lt;&gt;"",W175&gt;Q175),"LATE vs REQ",IF(AND(R175="Finalized – Not Purchased",T175=""),"NEED PR",IF(AND(Y175&lt;&gt;"",Y175&lt;J175),"SHORT","")))))))</f>
        <v/>
      </c>
      <c r="AG175" s="35"/>
    </row>
    <row r="176" customFormat="false" ht="15" hidden="false" customHeight="false" outlineLevel="0" collapsed="false">
      <c r="A176" s="34" t="str">
        <f aca="false">IF(B176="","",LEFT(B176,3)&amp;"-"&amp;TEXT(COUNTIF(B$11:B176,B176),"00"))</f>
        <v/>
      </c>
      <c r="B176" s="35"/>
      <c r="C176" s="35"/>
      <c r="D176" s="35"/>
      <c r="E176" s="35"/>
      <c r="F176" s="35"/>
      <c r="G176" s="35"/>
      <c r="H176" s="35"/>
      <c r="I176" s="35"/>
      <c r="J176" s="34" t="str">
        <f aca="false">IF(H176="","",H176*IF(I176="",1,I176))</f>
        <v/>
      </c>
      <c r="K176" s="35"/>
      <c r="L176" s="35"/>
      <c r="M176" s="35"/>
      <c r="N176" s="35"/>
      <c r="O176" s="35"/>
      <c r="P176" s="36"/>
      <c r="Q176" s="36"/>
      <c r="R176" s="35"/>
      <c r="S176" s="35"/>
      <c r="T176" s="35"/>
      <c r="U176" s="35"/>
      <c r="V176" s="36"/>
      <c r="W176" s="36"/>
      <c r="X176" s="35"/>
      <c r="Y176" s="35"/>
      <c r="Z176" s="36"/>
      <c r="AA176" s="37"/>
      <c r="AB176" s="38" t="str">
        <f aca="false">IF(OR(AA176="",J176=""),"",AA176*J176)</f>
        <v/>
      </c>
      <c r="AC176" s="35"/>
      <c r="AD176" s="35"/>
      <c r="AE176" s="36"/>
      <c r="AF176" s="34" t="str">
        <f aca="true">IF(OR(D176="",R176="Cancelled"),"",IF(H176="","NO QTY",IF(AND(L176="Buy",E176=""),"NO PART NO",IF(AND(W176&lt;&gt;"",NOT(OR(R176="Received",R176="NSW Purchased")),W176&lt;TODAY()),"OVERDUE",IF(AND(W176&lt;&gt;"",Q176&lt;&gt;"",W176&gt;Q176),"LATE vs REQ",IF(AND(R176="Finalized – Not Purchased",T176=""),"NEED PR",IF(AND(Y176&lt;&gt;"",Y176&lt;J176),"SHORT","")))))))</f>
        <v/>
      </c>
      <c r="AG176" s="35"/>
    </row>
    <row r="177" customFormat="false" ht="15" hidden="false" customHeight="false" outlineLevel="0" collapsed="false">
      <c r="A177" s="34" t="str">
        <f aca="false">IF(B177="","",LEFT(B177,3)&amp;"-"&amp;TEXT(COUNTIF(B$11:B177,B177),"00"))</f>
        <v/>
      </c>
      <c r="B177" s="35"/>
      <c r="C177" s="35"/>
      <c r="D177" s="35"/>
      <c r="E177" s="35"/>
      <c r="F177" s="35"/>
      <c r="G177" s="35"/>
      <c r="H177" s="35"/>
      <c r="I177" s="35"/>
      <c r="J177" s="34" t="str">
        <f aca="false">IF(H177="","",H177*IF(I177="",1,I177))</f>
        <v/>
      </c>
      <c r="K177" s="35"/>
      <c r="L177" s="35"/>
      <c r="M177" s="35"/>
      <c r="N177" s="35"/>
      <c r="O177" s="35"/>
      <c r="P177" s="36"/>
      <c r="Q177" s="36"/>
      <c r="R177" s="35"/>
      <c r="S177" s="35"/>
      <c r="T177" s="35"/>
      <c r="U177" s="35"/>
      <c r="V177" s="36"/>
      <c r="W177" s="36"/>
      <c r="X177" s="35"/>
      <c r="Y177" s="35"/>
      <c r="Z177" s="36"/>
      <c r="AA177" s="37"/>
      <c r="AB177" s="38" t="str">
        <f aca="false">IF(OR(AA177="",J177=""),"",AA177*J177)</f>
        <v/>
      </c>
      <c r="AC177" s="35"/>
      <c r="AD177" s="35"/>
      <c r="AE177" s="36"/>
      <c r="AF177" s="34" t="str">
        <f aca="true">IF(OR(D177="",R177="Cancelled"),"",IF(H177="","NO QTY",IF(AND(L177="Buy",E177=""),"NO PART NO",IF(AND(W177&lt;&gt;"",NOT(OR(R177="Received",R177="NSW Purchased")),W177&lt;TODAY()),"OVERDUE",IF(AND(W177&lt;&gt;"",Q177&lt;&gt;"",W177&gt;Q177),"LATE vs REQ",IF(AND(R177="Finalized – Not Purchased",T177=""),"NEED PR",IF(AND(Y177&lt;&gt;"",Y177&lt;J177),"SHORT","")))))))</f>
        <v/>
      </c>
      <c r="AG177" s="35"/>
    </row>
    <row r="178" customFormat="false" ht="15" hidden="false" customHeight="false" outlineLevel="0" collapsed="false">
      <c r="A178" s="34" t="str">
        <f aca="false">IF(B178="","",LEFT(B178,3)&amp;"-"&amp;TEXT(COUNTIF(B$11:B178,B178),"00"))</f>
        <v/>
      </c>
      <c r="B178" s="35"/>
      <c r="C178" s="35"/>
      <c r="D178" s="35"/>
      <c r="E178" s="35"/>
      <c r="F178" s="35"/>
      <c r="G178" s="35"/>
      <c r="H178" s="35"/>
      <c r="I178" s="35"/>
      <c r="J178" s="34" t="str">
        <f aca="false">IF(H178="","",H178*IF(I178="",1,I178))</f>
        <v/>
      </c>
      <c r="K178" s="35"/>
      <c r="L178" s="35"/>
      <c r="M178" s="35"/>
      <c r="N178" s="35"/>
      <c r="O178" s="35"/>
      <c r="P178" s="36"/>
      <c r="Q178" s="36"/>
      <c r="R178" s="35"/>
      <c r="S178" s="35"/>
      <c r="T178" s="35"/>
      <c r="U178" s="35"/>
      <c r="V178" s="36"/>
      <c r="W178" s="36"/>
      <c r="X178" s="35"/>
      <c r="Y178" s="35"/>
      <c r="Z178" s="36"/>
      <c r="AA178" s="37"/>
      <c r="AB178" s="38" t="str">
        <f aca="false">IF(OR(AA178="",J178=""),"",AA178*J178)</f>
        <v/>
      </c>
      <c r="AC178" s="35"/>
      <c r="AD178" s="35"/>
      <c r="AE178" s="36"/>
      <c r="AF178" s="34" t="str">
        <f aca="true">IF(OR(D178="",R178="Cancelled"),"",IF(H178="","NO QTY",IF(AND(L178="Buy",E178=""),"NO PART NO",IF(AND(W178&lt;&gt;"",NOT(OR(R178="Received",R178="NSW Purchased")),W178&lt;TODAY()),"OVERDUE",IF(AND(W178&lt;&gt;"",Q178&lt;&gt;"",W178&gt;Q178),"LATE vs REQ",IF(AND(R178="Finalized – Not Purchased",T178=""),"NEED PR",IF(AND(Y178&lt;&gt;"",Y178&lt;J178),"SHORT","")))))))</f>
        <v/>
      </c>
      <c r="AG178" s="35"/>
    </row>
    <row r="179" customFormat="false" ht="15" hidden="false" customHeight="false" outlineLevel="0" collapsed="false">
      <c r="A179" s="34" t="str">
        <f aca="false">IF(B179="","",LEFT(B179,3)&amp;"-"&amp;TEXT(COUNTIF(B$11:B179,B179),"00"))</f>
        <v/>
      </c>
      <c r="B179" s="35"/>
      <c r="C179" s="35"/>
      <c r="D179" s="35"/>
      <c r="E179" s="35"/>
      <c r="F179" s="35"/>
      <c r="G179" s="35"/>
      <c r="H179" s="35"/>
      <c r="I179" s="35"/>
      <c r="J179" s="34" t="str">
        <f aca="false">IF(H179="","",H179*IF(I179="",1,I179))</f>
        <v/>
      </c>
      <c r="K179" s="35"/>
      <c r="L179" s="35"/>
      <c r="M179" s="35"/>
      <c r="N179" s="35"/>
      <c r="O179" s="35"/>
      <c r="P179" s="36"/>
      <c r="Q179" s="36"/>
      <c r="R179" s="35"/>
      <c r="S179" s="35"/>
      <c r="T179" s="35"/>
      <c r="U179" s="35"/>
      <c r="V179" s="36"/>
      <c r="W179" s="36"/>
      <c r="X179" s="35"/>
      <c r="Y179" s="35"/>
      <c r="Z179" s="36"/>
      <c r="AA179" s="37"/>
      <c r="AB179" s="38" t="str">
        <f aca="false">IF(OR(AA179="",J179=""),"",AA179*J179)</f>
        <v/>
      </c>
      <c r="AC179" s="35"/>
      <c r="AD179" s="35"/>
      <c r="AE179" s="36"/>
      <c r="AF179" s="34" t="str">
        <f aca="true">IF(OR(D179="",R179="Cancelled"),"",IF(H179="","NO QTY",IF(AND(L179="Buy",E179=""),"NO PART NO",IF(AND(W179&lt;&gt;"",NOT(OR(R179="Received",R179="NSW Purchased")),W179&lt;TODAY()),"OVERDUE",IF(AND(W179&lt;&gt;"",Q179&lt;&gt;"",W179&gt;Q179),"LATE vs REQ",IF(AND(R179="Finalized – Not Purchased",T179=""),"NEED PR",IF(AND(Y179&lt;&gt;"",Y179&lt;J179),"SHORT","")))))))</f>
        <v/>
      </c>
      <c r="AG179" s="35"/>
    </row>
    <row r="180" customFormat="false" ht="15" hidden="false" customHeight="false" outlineLevel="0" collapsed="false">
      <c r="A180" s="34" t="str">
        <f aca="false">IF(B180="","",LEFT(B180,3)&amp;"-"&amp;TEXT(COUNTIF(B$11:B180,B180),"00"))</f>
        <v/>
      </c>
      <c r="B180" s="35"/>
      <c r="C180" s="35"/>
      <c r="D180" s="35"/>
      <c r="E180" s="35"/>
      <c r="F180" s="35"/>
      <c r="G180" s="35"/>
      <c r="H180" s="35"/>
      <c r="I180" s="35"/>
      <c r="J180" s="34" t="str">
        <f aca="false">IF(H180="","",H180*IF(I180="",1,I180))</f>
        <v/>
      </c>
      <c r="K180" s="35"/>
      <c r="L180" s="35"/>
      <c r="M180" s="35"/>
      <c r="N180" s="35"/>
      <c r="O180" s="35"/>
      <c r="P180" s="36"/>
      <c r="Q180" s="36"/>
      <c r="R180" s="35"/>
      <c r="S180" s="35"/>
      <c r="T180" s="35"/>
      <c r="U180" s="35"/>
      <c r="V180" s="36"/>
      <c r="W180" s="36"/>
      <c r="X180" s="35"/>
      <c r="Y180" s="35"/>
      <c r="Z180" s="36"/>
      <c r="AA180" s="37"/>
      <c r="AB180" s="38" t="str">
        <f aca="false">IF(OR(AA180="",J180=""),"",AA180*J180)</f>
        <v/>
      </c>
      <c r="AC180" s="35"/>
      <c r="AD180" s="35"/>
      <c r="AE180" s="36"/>
      <c r="AF180" s="34" t="str">
        <f aca="true">IF(OR(D180="",R180="Cancelled"),"",IF(H180="","NO QTY",IF(AND(L180="Buy",E180=""),"NO PART NO",IF(AND(W180&lt;&gt;"",NOT(OR(R180="Received",R180="NSW Purchased")),W180&lt;TODAY()),"OVERDUE",IF(AND(W180&lt;&gt;"",Q180&lt;&gt;"",W180&gt;Q180),"LATE vs REQ",IF(AND(R180="Finalized – Not Purchased",T180=""),"NEED PR",IF(AND(Y180&lt;&gt;"",Y180&lt;J180),"SHORT","")))))))</f>
        <v/>
      </c>
      <c r="AG180" s="35"/>
    </row>
    <row r="181" customFormat="false" ht="15" hidden="false" customHeight="false" outlineLevel="0" collapsed="false">
      <c r="A181" s="34" t="str">
        <f aca="false">IF(B181="","",LEFT(B181,3)&amp;"-"&amp;TEXT(COUNTIF(B$11:B181,B181),"00"))</f>
        <v/>
      </c>
      <c r="B181" s="35"/>
      <c r="C181" s="35"/>
      <c r="D181" s="35"/>
      <c r="E181" s="35"/>
      <c r="F181" s="35"/>
      <c r="G181" s="35"/>
      <c r="H181" s="35"/>
      <c r="I181" s="35"/>
      <c r="J181" s="34" t="str">
        <f aca="false">IF(H181="","",H181*IF(I181="",1,I181))</f>
        <v/>
      </c>
      <c r="K181" s="35"/>
      <c r="L181" s="35"/>
      <c r="M181" s="35"/>
      <c r="N181" s="35"/>
      <c r="O181" s="35"/>
      <c r="P181" s="36"/>
      <c r="Q181" s="36"/>
      <c r="R181" s="35"/>
      <c r="S181" s="35"/>
      <c r="T181" s="35"/>
      <c r="U181" s="35"/>
      <c r="V181" s="36"/>
      <c r="W181" s="36"/>
      <c r="X181" s="35"/>
      <c r="Y181" s="35"/>
      <c r="Z181" s="36"/>
      <c r="AA181" s="37"/>
      <c r="AB181" s="38" t="str">
        <f aca="false">IF(OR(AA181="",J181=""),"",AA181*J181)</f>
        <v/>
      </c>
      <c r="AC181" s="35"/>
      <c r="AD181" s="35"/>
      <c r="AE181" s="36"/>
      <c r="AF181" s="34" t="str">
        <f aca="true">IF(OR(D181="",R181="Cancelled"),"",IF(H181="","NO QTY",IF(AND(L181="Buy",E181=""),"NO PART NO",IF(AND(W181&lt;&gt;"",NOT(OR(R181="Received",R181="NSW Purchased")),W181&lt;TODAY()),"OVERDUE",IF(AND(W181&lt;&gt;"",Q181&lt;&gt;"",W181&gt;Q181),"LATE vs REQ",IF(AND(R181="Finalized – Not Purchased",T181=""),"NEED PR",IF(AND(Y181&lt;&gt;"",Y181&lt;J181),"SHORT","")))))))</f>
        <v/>
      </c>
      <c r="AG181" s="35"/>
    </row>
    <row r="182" customFormat="false" ht="15" hidden="false" customHeight="false" outlineLevel="0" collapsed="false">
      <c r="A182" s="34" t="str">
        <f aca="false">IF(B182="","",LEFT(B182,3)&amp;"-"&amp;TEXT(COUNTIF(B$11:B182,B182),"00"))</f>
        <v/>
      </c>
      <c r="B182" s="35"/>
      <c r="C182" s="35"/>
      <c r="D182" s="35"/>
      <c r="E182" s="35"/>
      <c r="F182" s="35"/>
      <c r="G182" s="35"/>
      <c r="H182" s="35"/>
      <c r="I182" s="35"/>
      <c r="J182" s="34" t="str">
        <f aca="false">IF(H182="","",H182*IF(I182="",1,I182))</f>
        <v/>
      </c>
      <c r="K182" s="35"/>
      <c r="L182" s="35"/>
      <c r="M182" s="35"/>
      <c r="N182" s="35"/>
      <c r="O182" s="35"/>
      <c r="P182" s="36"/>
      <c r="Q182" s="36"/>
      <c r="R182" s="35"/>
      <c r="S182" s="35"/>
      <c r="T182" s="35"/>
      <c r="U182" s="35"/>
      <c r="V182" s="36"/>
      <c r="W182" s="36"/>
      <c r="X182" s="35"/>
      <c r="Y182" s="35"/>
      <c r="Z182" s="36"/>
      <c r="AA182" s="37"/>
      <c r="AB182" s="38" t="str">
        <f aca="false">IF(OR(AA182="",J182=""),"",AA182*J182)</f>
        <v/>
      </c>
      <c r="AC182" s="35"/>
      <c r="AD182" s="35"/>
      <c r="AE182" s="36"/>
      <c r="AF182" s="34" t="str">
        <f aca="true">IF(OR(D182="",R182="Cancelled"),"",IF(H182="","NO QTY",IF(AND(L182="Buy",E182=""),"NO PART NO",IF(AND(W182&lt;&gt;"",NOT(OR(R182="Received",R182="NSW Purchased")),W182&lt;TODAY()),"OVERDUE",IF(AND(W182&lt;&gt;"",Q182&lt;&gt;"",W182&gt;Q182),"LATE vs REQ",IF(AND(R182="Finalized – Not Purchased",T182=""),"NEED PR",IF(AND(Y182&lt;&gt;"",Y182&lt;J182),"SHORT","")))))))</f>
        <v/>
      </c>
      <c r="AG182" s="35"/>
    </row>
    <row r="183" customFormat="false" ht="15" hidden="false" customHeight="false" outlineLevel="0" collapsed="false">
      <c r="A183" s="34" t="str">
        <f aca="false">IF(B183="","",LEFT(B183,3)&amp;"-"&amp;TEXT(COUNTIF(B$11:B183,B183),"00"))</f>
        <v/>
      </c>
      <c r="B183" s="35"/>
      <c r="C183" s="35"/>
      <c r="D183" s="35"/>
      <c r="E183" s="35"/>
      <c r="F183" s="35"/>
      <c r="G183" s="35"/>
      <c r="H183" s="35"/>
      <c r="I183" s="35"/>
      <c r="J183" s="34" t="str">
        <f aca="false">IF(H183="","",H183*IF(I183="",1,I183))</f>
        <v/>
      </c>
      <c r="K183" s="35"/>
      <c r="L183" s="35"/>
      <c r="M183" s="35"/>
      <c r="N183" s="35"/>
      <c r="O183" s="35"/>
      <c r="P183" s="36"/>
      <c r="Q183" s="36"/>
      <c r="R183" s="35"/>
      <c r="S183" s="35"/>
      <c r="T183" s="35"/>
      <c r="U183" s="35"/>
      <c r="V183" s="36"/>
      <c r="W183" s="36"/>
      <c r="X183" s="35"/>
      <c r="Y183" s="35"/>
      <c r="Z183" s="36"/>
      <c r="AA183" s="37"/>
      <c r="AB183" s="38" t="str">
        <f aca="false">IF(OR(AA183="",J183=""),"",AA183*J183)</f>
        <v/>
      </c>
      <c r="AC183" s="35"/>
      <c r="AD183" s="35"/>
      <c r="AE183" s="36"/>
      <c r="AF183" s="34" t="str">
        <f aca="true">IF(OR(D183="",R183="Cancelled"),"",IF(H183="","NO QTY",IF(AND(L183="Buy",E183=""),"NO PART NO",IF(AND(W183&lt;&gt;"",NOT(OR(R183="Received",R183="NSW Purchased")),W183&lt;TODAY()),"OVERDUE",IF(AND(W183&lt;&gt;"",Q183&lt;&gt;"",W183&gt;Q183),"LATE vs REQ",IF(AND(R183="Finalized – Not Purchased",T183=""),"NEED PR",IF(AND(Y183&lt;&gt;"",Y183&lt;J183),"SHORT","")))))))</f>
        <v/>
      </c>
      <c r="AG183" s="35"/>
    </row>
    <row r="184" customFormat="false" ht="15" hidden="false" customHeight="false" outlineLevel="0" collapsed="false">
      <c r="A184" s="34" t="str">
        <f aca="false">IF(B184="","",LEFT(B184,3)&amp;"-"&amp;TEXT(COUNTIF(B$11:B184,B184),"00"))</f>
        <v/>
      </c>
      <c r="B184" s="35"/>
      <c r="C184" s="35"/>
      <c r="D184" s="35"/>
      <c r="E184" s="35"/>
      <c r="F184" s="35"/>
      <c r="G184" s="35"/>
      <c r="H184" s="35"/>
      <c r="I184" s="35"/>
      <c r="J184" s="34" t="str">
        <f aca="false">IF(H184="","",H184*IF(I184="",1,I184))</f>
        <v/>
      </c>
      <c r="K184" s="35"/>
      <c r="L184" s="35"/>
      <c r="M184" s="35"/>
      <c r="N184" s="35"/>
      <c r="O184" s="35"/>
      <c r="P184" s="36"/>
      <c r="Q184" s="36"/>
      <c r="R184" s="35"/>
      <c r="S184" s="35"/>
      <c r="T184" s="35"/>
      <c r="U184" s="35"/>
      <c r="V184" s="36"/>
      <c r="W184" s="36"/>
      <c r="X184" s="35"/>
      <c r="Y184" s="35"/>
      <c r="Z184" s="36"/>
      <c r="AA184" s="37"/>
      <c r="AB184" s="38" t="str">
        <f aca="false">IF(OR(AA184="",J184=""),"",AA184*J184)</f>
        <v/>
      </c>
      <c r="AC184" s="35"/>
      <c r="AD184" s="35"/>
      <c r="AE184" s="36"/>
      <c r="AF184" s="34" t="str">
        <f aca="true">IF(OR(D184="",R184="Cancelled"),"",IF(H184="","NO QTY",IF(AND(L184="Buy",E184=""),"NO PART NO",IF(AND(W184&lt;&gt;"",NOT(OR(R184="Received",R184="NSW Purchased")),W184&lt;TODAY()),"OVERDUE",IF(AND(W184&lt;&gt;"",Q184&lt;&gt;"",W184&gt;Q184),"LATE vs REQ",IF(AND(R184="Finalized – Not Purchased",T184=""),"NEED PR",IF(AND(Y184&lt;&gt;"",Y184&lt;J184),"SHORT","")))))))</f>
        <v/>
      </c>
      <c r="AG184" s="35"/>
    </row>
    <row r="185" customFormat="false" ht="15" hidden="false" customHeight="false" outlineLevel="0" collapsed="false">
      <c r="A185" s="34" t="str">
        <f aca="false">IF(B185="","",LEFT(B185,3)&amp;"-"&amp;TEXT(COUNTIF(B$11:B185,B185),"00"))</f>
        <v/>
      </c>
      <c r="B185" s="35"/>
      <c r="C185" s="35"/>
      <c r="D185" s="35"/>
      <c r="E185" s="35"/>
      <c r="F185" s="35"/>
      <c r="G185" s="35"/>
      <c r="H185" s="35"/>
      <c r="I185" s="35"/>
      <c r="J185" s="34" t="str">
        <f aca="false">IF(H185="","",H185*IF(I185="",1,I185))</f>
        <v/>
      </c>
      <c r="K185" s="35"/>
      <c r="L185" s="35"/>
      <c r="M185" s="35"/>
      <c r="N185" s="35"/>
      <c r="O185" s="35"/>
      <c r="P185" s="36"/>
      <c r="Q185" s="36"/>
      <c r="R185" s="35"/>
      <c r="S185" s="35"/>
      <c r="T185" s="35"/>
      <c r="U185" s="35"/>
      <c r="V185" s="36"/>
      <c r="W185" s="36"/>
      <c r="X185" s="35"/>
      <c r="Y185" s="35"/>
      <c r="Z185" s="36"/>
      <c r="AA185" s="37"/>
      <c r="AB185" s="38" t="str">
        <f aca="false">IF(OR(AA185="",J185=""),"",AA185*J185)</f>
        <v/>
      </c>
      <c r="AC185" s="35"/>
      <c r="AD185" s="35"/>
      <c r="AE185" s="36"/>
      <c r="AF185" s="34" t="str">
        <f aca="true">IF(OR(D185="",R185="Cancelled"),"",IF(H185="","NO QTY",IF(AND(L185="Buy",E185=""),"NO PART NO",IF(AND(W185&lt;&gt;"",NOT(OR(R185="Received",R185="NSW Purchased")),W185&lt;TODAY()),"OVERDUE",IF(AND(W185&lt;&gt;"",Q185&lt;&gt;"",W185&gt;Q185),"LATE vs REQ",IF(AND(R185="Finalized – Not Purchased",T185=""),"NEED PR",IF(AND(Y185&lt;&gt;"",Y185&lt;J185),"SHORT","")))))))</f>
        <v/>
      </c>
      <c r="AG185" s="35"/>
    </row>
    <row r="186" customFormat="false" ht="15" hidden="false" customHeight="false" outlineLevel="0" collapsed="false">
      <c r="A186" s="34" t="str">
        <f aca="false">IF(B186="","",LEFT(B186,3)&amp;"-"&amp;TEXT(COUNTIF(B$11:B186,B186),"00"))</f>
        <v/>
      </c>
      <c r="B186" s="35"/>
      <c r="C186" s="35"/>
      <c r="D186" s="35"/>
      <c r="E186" s="35"/>
      <c r="F186" s="35"/>
      <c r="G186" s="35"/>
      <c r="H186" s="35"/>
      <c r="I186" s="35"/>
      <c r="J186" s="34" t="str">
        <f aca="false">IF(H186="","",H186*IF(I186="",1,I186))</f>
        <v/>
      </c>
      <c r="K186" s="35"/>
      <c r="L186" s="35"/>
      <c r="M186" s="35"/>
      <c r="N186" s="35"/>
      <c r="O186" s="35"/>
      <c r="P186" s="36"/>
      <c r="Q186" s="36"/>
      <c r="R186" s="35"/>
      <c r="S186" s="35"/>
      <c r="T186" s="35"/>
      <c r="U186" s="35"/>
      <c r="V186" s="36"/>
      <c r="W186" s="36"/>
      <c r="X186" s="35"/>
      <c r="Y186" s="35"/>
      <c r="Z186" s="36"/>
      <c r="AA186" s="37"/>
      <c r="AB186" s="38" t="str">
        <f aca="false">IF(OR(AA186="",J186=""),"",AA186*J186)</f>
        <v/>
      </c>
      <c r="AC186" s="35"/>
      <c r="AD186" s="35"/>
      <c r="AE186" s="36"/>
      <c r="AF186" s="34" t="str">
        <f aca="true">IF(OR(D186="",R186="Cancelled"),"",IF(H186="","NO QTY",IF(AND(L186="Buy",E186=""),"NO PART NO",IF(AND(W186&lt;&gt;"",NOT(OR(R186="Received",R186="NSW Purchased")),W186&lt;TODAY()),"OVERDUE",IF(AND(W186&lt;&gt;"",Q186&lt;&gt;"",W186&gt;Q186),"LATE vs REQ",IF(AND(R186="Finalized – Not Purchased",T186=""),"NEED PR",IF(AND(Y186&lt;&gt;"",Y186&lt;J186),"SHORT","")))))))</f>
        <v/>
      </c>
      <c r="AG186" s="35"/>
    </row>
    <row r="187" customFormat="false" ht="15" hidden="false" customHeight="false" outlineLevel="0" collapsed="false">
      <c r="A187" s="34" t="str">
        <f aca="false">IF(B187="","",LEFT(B187,3)&amp;"-"&amp;TEXT(COUNTIF(B$11:B187,B187),"00"))</f>
        <v/>
      </c>
      <c r="B187" s="35"/>
      <c r="C187" s="35"/>
      <c r="D187" s="35"/>
      <c r="E187" s="35"/>
      <c r="F187" s="35"/>
      <c r="G187" s="35"/>
      <c r="H187" s="35"/>
      <c r="I187" s="35"/>
      <c r="J187" s="34" t="str">
        <f aca="false">IF(H187="","",H187*IF(I187="",1,I187))</f>
        <v/>
      </c>
      <c r="K187" s="35"/>
      <c r="L187" s="35"/>
      <c r="M187" s="35"/>
      <c r="N187" s="35"/>
      <c r="O187" s="35"/>
      <c r="P187" s="36"/>
      <c r="Q187" s="36"/>
      <c r="R187" s="35"/>
      <c r="S187" s="35"/>
      <c r="T187" s="35"/>
      <c r="U187" s="35"/>
      <c r="V187" s="36"/>
      <c r="W187" s="36"/>
      <c r="X187" s="35"/>
      <c r="Y187" s="35"/>
      <c r="Z187" s="36"/>
      <c r="AA187" s="37"/>
      <c r="AB187" s="38" t="str">
        <f aca="false">IF(OR(AA187="",J187=""),"",AA187*J187)</f>
        <v/>
      </c>
      <c r="AC187" s="35"/>
      <c r="AD187" s="35"/>
      <c r="AE187" s="36"/>
      <c r="AF187" s="34" t="str">
        <f aca="true">IF(OR(D187="",R187="Cancelled"),"",IF(H187="","NO QTY",IF(AND(L187="Buy",E187=""),"NO PART NO",IF(AND(W187&lt;&gt;"",NOT(OR(R187="Received",R187="NSW Purchased")),W187&lt;TODAY()),"OVERDUE",IF(AND(W187&lt;&gt;"",Q187&lt;&gt;"",W187&gt;Q187),"LATE vs REQ",IF(AND(R187="Finalized – Not Purchased",T187=""),"NEED PR",IF(AND(Y187&lt;&gt;"",Y187&lt;J187),"SHORT","")))))))</f>
        <v/>
      </c>
      <c r="AG187" s="35"/>
    </row>
    <row r="188" customFormat="false" ht="15" hidden="false" customHeight="false" outlineLevel="0" collapsed="false">
      <c r="A188" s="34" t="str">
        <f aca="false">IF(B188="","",LEFT(B188,3)&amp;"-"&amp;TEXT(COUNTIF(B$11:B188,B188),"00"))</f>
        <v/>
      </c>
      <c r="B188" s="35"/>
      <c r="C188" s="35"/>
      <c r="D188" s="35"/>
      <c r="E188" s="35"/>
      <c r="F188" s="35"/>
      <c r="G188" s="35"/>
      <c r="H188" s="35"/>
      <c r="I188" s="35"/>
      <c r="J188" s="34" t="str">
        <f aca="false">IF(H188="","",H188*IF(I188="",1,I188))</f>
        <v/>
      </c>
      <c r="K188" s="35"/>
      <c r="L188" s="35"/>
      <c r="M188" s="35"/>
      <c r="N188" s="35"/>
      <c r="O188" s="35"/>
      <c r="P188" s="36"/>
      <c r="Q188" s="36"/>
      <c r="R188" s="35"/>
      <c r="S188" s="35"/>
      <c r="T188" s="35"/>
      <c r="U188" s="35"/>
      <c r="V188" s="36"/>
      <c r="W188" s="36"/>
      <c r="X188" s="35"/>
      <c r="Y188" s="35"/>
      <c r="Z188" s="36"/>
      <c r="AA188" s="37"/>
      <c r="AB188" s="38" t="str">
        <f aca="false">IF(OR(AA188="",J188=""),"",AA188*J188)</f>
        <v/>
      </c>
      <c r="AC188" s="35"/>
      <c r="AD188" s="35"/>
      <c r="AE188" s="36"/>
      <c r="AF188" s="34" t="str">
        <f aca="true">IF(OR(D188="",R188="Cancelled"),"",IF(H188="","NO QTY",IF(AND(L188="Buy",E188=""),"NO PART NO",IF(AND(W188&lt;&gt;"",NOT(OR(R188="Received",R188="NSW Purchased")),W188&lt;TODAY()),"OVERDUE",IF(AND(W188&lt;&gt;"",Q188&lt;&gt;"",W188&gt;Q188),"LATE vs REQ",IF(AND(R188="Finalized – Not Purchased",T188=""),"NEED PR",IF(AND(Y188&lt;&gt;"",Y188&lt;J188),"SHORT","")))))))</f>
        <v/>
      </c>
      <c r="AG188" s="35"/>
    </row>
    <row r="189" customFormat="false" ht="15" hidden="false" customHeight="false" outlineLevel="0" collapsed="false">
      <c r="A189" s="34" t="str">
        <f aca="false">IF(B189="","",LEFT(B189,3)&amp;"-"&amp;TEXT(COUNTIF(B$11:B189,B189),"00"))</f>
        <v/>
      </c>
      <c r="B189" s="35"/>
      <c r="C189" s="35"/>
      <c r="D189" s="35"/>
      <c r="E189" s="35"/>
      <c r="F189" s="35"/>
      <c r="G189" s="35"/>
      <c r="H189" s="35"/>
      <c r="I189" s="35"/>
      <c r="J189" s="34" t="str">
        <f aca="false">IF(H189="","",H189*IF(I189="",1,I189))</f>
        <v/>
      </c>
      <c r="K189" s="35"/>
      <c r="L189" s="35"/>
      <c r="M189" s="35"/>
      <c r="N189" s="35"/>
      <c r="O189" s="35"/>
      <c r="P189" s="36"/>
      <c r="Q189" s="36"/>
      <c r="R189" s="35"/>
      <c r="S189" s="35"/>
      <c r="T189" s="35"/>
      <c r="U189" s="35"/>
      <c r="V189" s="36"/>
      <c r="W189" s="36"/>
      <c r="X189" s="35"/>
      <c r="Y189" s="35"/>
      <c r="Z189" s="36"/>
      <c r="AA189" s="37"/>
      <c r="AB189" s="38" t="str">
        <f aca="false">IF(OR(AA189="",J189=""),"",AA189*J189)</f>
        <v/>
      </c>
      <c r="AC189" s="35"/>
      <c r="AD189" s="35"/>
      <c r="AE189" s="36"/>
      <c r="AF189" s="34" t="str">
        <f aca="true">IF(OR(D189="",R189="Cancelled"),"",IF(H189="","NO QTY",IF(AND(L189="Buy",E189=""),"NO PART NO",IF(AND(W189&lt;&gt;"",NOT(OR(R189="Received",R189="NSW Purchased")),W189&lt;TODAY()),"OVERDUE",IF(AND(W189&lt;&gt;"",Q189&lt;&gt;"",W189&gt;Q189),"LATE vs REQ",IF(AND(R189="Finalized – Not Purchased",T189=""),"NEED PR",IF(AND(Y189&lt;&gt;"",Y189&lt;J189),"SHORT","")))))))</f>
        <v/>
      </c>
      <c r="AG189" s="35"/>
    </row>
    <row r="190" customFormat="false" ht="15" hidden="false" customHeight="false" outlineLevel="0" collapsed="false">
      <c r="A190" s="34" t="str">
        <f aca="false">IF(B190="","",LEFT(B190,3)&amp;"-"&amp;TEXT(COUNTIF(B$11:B190,B190),"00"))</f>
        <v/>
      </c>
      <c r="B190" s="35"/>
      <c r="C190" s="35"/>
      <c r="D190" s="35"/>
      <c r="E190" s="35"/>
      <c r="F190" s="35"/>
      <c r="G190" s="35"/>
      <c r="H190" s="35"/>
      <c r="I190" s="35"/>
      <c r="J190" s="34" t="str">
        <f aca="false">IF(H190="","",H190*IF(I190="",1,I190))</f>
        <v/>
      </c>
      <c r="K190" s="35"/>
      <c r="L190" s="35"/>
      <c r="M190" s="35"/>
      <c r="N190" s="35"/>
      <c r="O190" s="35"/>
      <c r="P190" s="36"/>
      <c r="Q190" s="36"/>
      <c r="R190" s="35"/>
      <c r="S190" s="35"/>
      <c r="T190" s="35"/>
      <c r="U190" s="35"/>
      <c r="V190" s="36"/>
      <c r="W190" s="36"/>
      <c r="X190" s="35"/>
      <c r="Y190" s="35"/>
      <c r="Z190" s="36"/>
      <c r="AA190" s="37"/>
      <c r="AB190" s="38" t="str">
        <f aca="false">IF(OR(AA190="",J190=""),"",AA190*J190)</f>
        <v/>
      </c>
      <c r="AC190" s="35"/>
      <c r="AD190" s="35"/>
      <c r="AE190" s="36"/>
      <c r="AF190" s="34" t="str">
        <f aca="true">IF(OR(D190="",R190="Cancelled"),"",IF(H190="","NO QTY",IF(AND(L190="Buy",E190=""),"NO PART NO",IF(AND(W190&lt;&gt;"",NOT(OR(R190="Received",R190="NSW Purchased")),W190&lt;TODAY()),"OVERDUE",IF(AND(W190&lt;&gt;"",Q190&lt;&gt;"",W190&gt;Q190),"LATE vs REQ",IF(AND(R190="Finalized – Not Purchased",T190=""),"NEED PR",IF(AND(Y190&lt;&gt;"",Y190&lt;J190),"SHORT","")))))))</f>
        <v/>
      </c>
      <c r="AG190" s="35"/>
    </row>
    <row r="191" customFormat="false" ht="15" hidden="false" customHeight="false" outlineLevel="0" collapsed="false">
      <c r="A191" s="34" t="str">
        <f aca="false">IF(B191="","",LEFT(B191,3)&amp;"-"&amp;TEXT(COUNTIF(B$11:B191,B191),"00"))</f>
        <v/>
      </c>
      <c r="B191" s="35"/>
      <c r="C191" s="35"/>
      <c r="D191" s="35"/>
      <c r="E191" s="35"/>
      <c r="F191" s="35"/>
      <c r="G191" s="35"/>
      <c r="H191" s="35"/>
      <c r="I191" s="35"/>
      <c r="J191" s="34" t="str">
        <f aca="false">IF(H191="","",H191*IF(I191="",1,I191))</f>
        <v/>
      </c>
      <c r="K191" s="35"/>
      <c r="L191" s="35"/>
      <c r="M191" s="35"/>
      <c r="N191" s="35"/>
      <c r="O191" s="35"/>
      <c r="P191" s="36"/>
      <c r="Q191" s="36"/>
      <c r="R191" s="35"/>
      <c r="S191" s="35"/>
      <c r="T191" s="35"/>
      <c r="U191" s="35"/>
      <c r="V191" s="36"/>
      <c r="W191" s="36"/>
      <c r="X191" s="35"/>
      <c r="Y191" s="35"/>
      <c r="Z191" s="36"/>
      <c r="AA191" s="37"/>
      <c r="AB191" s="38" t="str">
        <f aca="false">IF(OR(AA191="",J191=""),"",AA191*J191)</f>
        <v/>
      </c>
      <c r="AC191" s="35"/>
      <c r="AD191" s="35"/>
      <c r="AE191" s="36"/>
      <c r="AF191" s="34" t="str">
        <f aca="true">IF(OR(D191="",R191="Cancelled"),"",IF(H191="","NO QTY",IF(AND(L191="Buy",E191=""),"NO PART NO",IF(AND(W191&lt;&gt;"",NOT(OR(R191="Received",R191="NSW Purchased")),W191&lt;TODAY()),"OVERDUE",IF(AND(W191&lt;&gt;"",Q191&lt;&gt;"",W191&gt;Q191),"LATE vs REQ",IF(AND(R191="Finalized – Not Purchased",T191=""),"NEED PR",IF(AND(Y191&lt;&gt;"",Y191&lt;J191),"SHORT","")))))))</f>
        <v/>
      </c>
      <c r="AG191" s="35"/>
    </row>
    <row r="192" customFormat="false" ht="15" hidden="false" customHeight="false" outlineLevel="0" collapsed="false">
      <c r="A192" s="34" t="str">
        <f aca="false">IF(B192="","",LEFT(B192,3)&amp;"-"&amp;TEXT(COUNTIF(B$11:B192,B192),"00"))</f>
        <v/>
      </c>
      <c r="B192" s="35"/>
      <c r="C192" s="35"/>
      <c r="D192" s="35"/>
      <c r="E192" s="35"/>
      <c r="F192" s="35"/>
      <c r="G192" s="35"/>
      <c r="H192" s="35"/>
      <c r="I192" s="35"/>
      <c r="J192" s="34" t="str">
        <f aca="false">IF(H192="","",H192*IF(I192="",1,I192))</f>
        <v/>
      </c>
      <c r="K192" s="35"/>
      <c r="L192" s="35"/>
      <c r="M192" s="35"/>
      <c r="N192" s="35"/>
      <c r="O192" s="35"/>
      <c r="P192" s="36"/>
      <c r="Q192" s="36"/>
      <c r="R192" s="35"/>
      <c r="S192" s="35"/>
      <c r="T192" s="35"/>
      <c r="U192" s="35"/>
      <c r="V192" s="36"/>
      <c r="W192" s="36"/>
      <c r="X192" s="35"/>
      <c r="Y192" s="35"/>
      <c r="Z192" s="36"/>
      <c r="AA192" s="37"/>
      <c r="AB192" s="38" t="str">
        <f aca="false">IF(OR(AA192="",J192=""),"",AA192*J192)</f>
        <v/>
      </c>
      <c r="AC192" s="35"/>
      <c r="AD192" s="35"/>
      <c r="AE192" s="36"/>
      <c r="AF192" s="34" t="str">
        <f aca="true">IF(OR(D192="",R192="Cancelled"),"",IF(H192="","NO QTY",IF(AND(L192="Buy",E192=""),"NO PART NO",IF(AND(W192&lt;&gt;"",NOT(OR(R192="Received",R192="NSW Purchased")),W192&lt;TODAY()),"OVERDUE",IF(AND(W192&lt;&gt;"",Q192&lt;&gt;"",W192&gt;Q192),"LATE vs REQ",IF(AND(R192="Finalized – Not Purchased",T192=""),"NEED PR",IF(AND(Y192&lt;&gt;"",Y192&lt;J192),"SHORT","")))))))</f>
        <v/>
      </c>
      <c r="AG192" s="35"/>
    </row>
    <row r="193" customFormat="false" ht="15" hidden="false" customHeight="false" outlineLevel="0" collapsed="false">
      <c r="A193" s="34" t="str">
        <f aca="false">IF(B193="","",LEFT(B193,3)&amp;"-"&amp;TEXT(COUNTIF(B$11:B193,B193),"00"))</f>
        <v/>
      </c>
      <c r="B193" s="35"/>
      <c r="C193" s="35"/>
      <c r="D193" s="35"/>
      <c r="E193" s="35"/>
      <c r="F193" s="35"/>
      <c r="G193" s="35"/>
      <c r="H193" s="35"/>
      <c r="I193" s="35"/>
      <c r="J193" s="34" t="str">
        <f aca="false">IF(H193="","",H193*IF(I193="",1,I193))</f>
        <v/>
      </c>
      <c r="K193" s="35"/>
      <c r="L193" s="35"/>
      <c r="M193" s="35"/>
      <c r="N193" s="35"/>
      <c r="O193" s="35"/>
      <c r="P193" s="36"/>
      <c r="Q193" s="36"/>
      <c r="R193" s="35"/>
      <c r="S193" s="35"/>
      <c r="T193" s="35"/>
      <c r="U193" s="35"/>
      <c r="V193" s="36"/>
      <c r="W193" s="36"/>
      <c r="X193" s="35"/>
      <c r="Y193" s="35"/>
      <c r="Z193" s="36"/>
      <c r="AA193" s="37"/>
      <c r="AB193" s="38" t="str">
        <f aca="false">IF(OR(AA193="",J193=""),"",AA193*J193)</f>
        <v/>
      </c>
      <c r="AC193" s="35"/>
      <c r="AD193" s="35"/>
      <c r="AE193" s="36"/>
      <c r="AF193" s="34" t="str">
        <f aca="true">IF(OR(D193="",R193="Cancelled"),"",IF(H193="","NO QTY",IF(AND(L193="Buy",E193=""),"NO PART NO",IF(AND(W193&lt;&gt;"",NOT(OR(R193="Received",R193="NSW Purchased")),W193&lt;TODAY()),"OVERDUE",IF(AND(W193&lt;&gt;"",Q193&lt;&gt;"",W193&gt;Q193),"LATE vs REQ",IF(AND(R193="Finalized – Not Purchased",T193=""),"NEED PR",IF(AND(Y193&lt;&gt;"",Y193&lt;J193),"SHORT","")))))))</f>
        <v/>
      </c>
      <c r="AG193" s="35"/>
    </row>
    <row r="194" customFormat="false" ht="15" hidden="false" customHeight="false" outlineLevel="0" collapsed="false">
      <c r="A194" s="34" t="str">
        <f aca="false">IF(B194="","",LEFT(B194,3)&amp;"-"&amp;TEXT(COUNTIF(B$11:B194,B194),"00"))</f>
        <v/>
      </c>
      <c r="B194" s="35"/>
      <c r="C194" s="35"/>
      <c r="D194" s="35"/>
      <c r="E194" s="35"/>
      <c r="F194" s="35"/>
      <c r="G194" s="35"/>
      <c r="H194" s="35"/>
      <c r="I194" s="35"/>
      <c r="J194" s="34" t="str">
        <f aca="false">IF(H194="","",H194*IF(I194="",1,I194))</f>
        <v/>
      </c>
      <c r="K194" s="35"/>
      <c r="L194" s="35"/>
      <c r="M194" s="35"/>
      <c r="N194" s="35"/>
      <c r="O194" s="35"/>
      <c r="P194" s="36"/>
      <c r="Q194" s="36"/>
      <c r="R194" s="35"/>
      <c r="S194" s="35"/>
      <c r="T194" s="35"/>
      <c r="U194" s="35"/>
      <c r="V194" s="36"/>
      <c r="W194" s="36"/>
      <c r="X194" s="35"/>
      <c r="Y194" s="35"/>
      <c r="Z194" s="36"/>
      <c r="AA194" s="37"/>
      <c r="AB194" s="38" t="str">
        <f aca="false">IF(OR(AA194="",J194=""),"",AA194*J194)</f>
        <v/>
      </c>
      <c r="AC194" s="35"/>
      <c r="AD194" s="35"/>
      <c r="AE194" s="36"/>
      <c r="AF194" s="34" t="str">
        <f aca="true">IF(OR(D194="",R194="Cancelled"),"",IF(H194="","NO QTY",IF(AND(L194="Buy",E194=""),"NO PART NO",IF(AND(W194&lt;&gt;"",NOT(OR(R194="Received",R194="NSW Purchased")),W194&lt;TODAY()),"OVERDUE",IF(AND(W194&lt;&gt;"",Q194&lt;&gt;"",W194&gt;Q194),"LATE vs REQ",IF(AND(R194="Finalized – Not Purchased",T194=""),"NEED PR",IF(AND(Y194&lt;&gt;"",Y194&lt;J194),"SHORT","")))))))</f>
        <v/>
      </c>
      <c r="AG194" s="35"/>
    </row>
    <row r="195" customFormat="false" ht="15" hidden="false" customHeight="false" outlineLevel="0" collapsed="false">
      <c r="A195" s="34" t="str">
        <f aca="false">IF(B195="","",LEFT(B195,3)&amp;"-"&amp;TEXT(COUNTIF(B$11:B195,B195),"00"))</f>
        <v/>
      </c>
      <c r="B195" s="35"/>
      <c r="C195" s="35"/>
      <c r="D195" s="35"/>
      <c r="E195" s="35"/>
      <c r="F195" s="35"/>
      <c r="G195" s="35"/>
      <c r="H195" s="35"/>
      <c r="I195" s="35"/>
      <c r="J195" s="34" t="str">
        <f aca="false">IF(H195="","",H195*IF(I195="",1,I195))</f>
        <v/>
      </c>
      <c r="K195" s="35"/>
      <c r="L195" s="35"/>
      <c r="M195" s="35"/>
      <c r="N195" s="35"/>
      <c r="O195" s="35"/>
      <c r="P195" s="36"/>
      <c r="Q195" s="36"/>
      <c r="R195" s="35"/>
      <c r="S195" s="35"/>
      <c r="T195" s="35"/>
      <c r="U195" s="35"/>
      <c r="V195" s="36"/>
      <c r="W195" s="36"/>
      <c r="X195" s="35"/>
      <c r="Y195" s="35"/>
      <c r="Z195" s="36"/>
      <c r="AA195" s="37"/>
      <c r="AB195" s="38" t="str">
        <f aca="false">IF(OR(AA195="",J195=""),"",AA195*J195)</f>
        <v/>
      </c>
      <c r="AC195" s="35"/>
      <c r="AD195" s="35"/>
      <c r="AE195" s="36"/>
      <c r="AF195" s="34" t="str">
        <f aca="true">IF(OR(D195="",R195="Cancelled"),"",IF(H195="","NO QTY",IF(AND(L195="Buy",E195=""),"NO PART NO",IF(AND(W195&lt;&gt;"",NOT(OR(R195="Received",R195="NSW Purchased")),W195&lt;TODAY()),"OVERDUE",IF(AND(W195&lt;&gt;"",Q195&lt;&gt;"",W195&gt;Q195),"LATE vs REQ",IF(AND(R195="Finalized – Not Purchased",T195=""),"NEED PR",IF(AND(Y195&lt;&gt;"",Y195&lt;J195),"SHORT","")))))))</f>
        <v/>
      </c>
      <c r="AG195" s="35"/>
    </row>
    <row r="196" customFormat="false" ht="15" hidden="false" customHeight="false" outlineLevel="0" collapsed="false">
      <c r="A196" s="34" t="str">
        <f aca="false">IF(B196="","",LEFT(B196,3)&amp;"-"&amp;TEXT(COUNTIF(B$11:B196,B196),"00"))</f>
        <v/>
      </c>
      <c r="B196" s="35"/>
      <c r="C196" s="35"/>
      <c r="D196" s="35"/>
      <c r="E196" s="35"/>
      <c r="F196" s="35"/>
      <c r="G196" s="35"/>
      <c r="H196" s="35"/>
      <c r="I196" s="35"/>
      <c r="J196" s="34" t="str">
        <f aca="false">IF(H196="","",H196*IF(I196="",1,I196))</f>
        <v/>
      </c>
      <c r="K196" s="35"/>
      <c r="L196" s="35"/>
      <c r="M196" s="35"/>
      <c r="N196" s="35"/>
      <c r="O196" s="35"/>
      <c r="P196" s="36"/>
      <c r="Q196" s="36"/>
      <c r="R196" s="35"/>
      <c r="S196" s="35"/>
      <c r="T196" s="35"/>
      <c r="U196" s="35"/>
      <c r="V196" s="36"/>
      <c r="W196" s="36"/>
      <c r="X196" s="35"/>
      <c r="Y196" s="35"/>
      <c r="Z196" s="36"/>
      <c r="AA196" s="37"/>
      <c r="AB196" s="38" t="str">
        <f aca="false">IF(OR(AA196="",J196=""),"",AA196*J196)</f>
        <v/>
      </c>
      <c r="AC196" s="35"/>
      <c r="AD196" s="35"/>
      <c r="AE196" s="36"/>
      <c r="AF196" s="34" t="str">
        <f aca="true">IF(OR(D196="",R196="Cancelled"),"",IF(H196="","NO QTY",IF(AND(L196="Buy",E196=""),"NO PART NO",IF(AND(W196&lt;&gt;"",NOT(OR(R196="Received",R196="NSW Purchased")),W196&lt;TODAY()),"OVERDUE",IF(AND(W196&lt;&gt;"",Q196&lt;&gt;"",W196&gt;Q196),"LATE vs REQ",IF(AND(R196="Finalized – Not Purchased",T196=""),"NEED PR",IF(AND(Y196&lt;&gt;"",Y196&lt;J196),"SHORT","")))))))</f>
        <v/>
      </c>
      <c r="AG196" s="35"/>
    </row>
    <row r="197" customFormat="false" ht="15" hidden="false" customHeight="false" outlineLevel="0" collapsed="false">
      <c r="A197" s="34" t="str">
        <f aca="false">IF(B197="","",LEFT(B197,3)&amp;"-"&amp;TEXT(COUNTIF(B$11:B197,B197),"00"))</f>
        <v/>
      </c>
      <c r="B197" s="35"/>
      <c r="C197" s="35"/>
      <c r="D197" s="35"/>
      <c r="E197" s="35"/>
      <c r="F197" s="35"/>
      <c r="G197" s="35"/>
      <c r="H197" s="35"/>
      <c r="I197" s="35"/>
      <c r="J197" s="34" t="str">
        <f aca="false">IF(H197="","",H197*IF(I197="",1,I197))</f>
        <v/>
      </c>
      <c r="K197" s="35"/>
      <c r="L197" s="35"/>
      <c r="M197" s="35"/>
      <c r="N197" s="35"/>
      <c r="O197" s="35"/>
      <c r="P197" s="36"/>
      <c r="Q197" s="36"/>
      <c r="R197" s="35"/>
      <c r="S197" s="35"/>
      <c r="T197" s="35"/>
      <c r="U197" s="35"/>
      <c r="V197" s="36"/>
      <c r="W197" s="36"/>
      <c r="X197" s="35"/>
      <c r="Y197" s="35"/>
      <c r="Z197" s="36"/>
      <c r="AA197" s="37"/>
      <c r="AB197" s="38" t="str">
        <f aca="false">IF(OR(AA197="",J197=""),"",AA197*J197)</f>
        <v/>
      </c>
      <c r="AC197" s="35"/>
      <c r="AD197" s="35"/>
      <c r="AE197" s="36"/>
      <c r="AF197" s="34" t="str">
        <f aca="true">IF(OR(D197="",R197="Cancelled"),"",IF(H197="","NO QTY",IF(AND(L197="Buy",E197=""),"NO PART NO",IF(AND(W197&lt;&gt;"",NOT(OR(R197="Received",R197="NSW Purchased")),W197&lt;TODAY()),"OVERDUE",IF(AND(W197&lt;&gt;"",Q197&lt;&gt;"",W197&gt;Q197),"LATE vs REQ",IF(AND(R197="Finalized – Not Purchased",T197=""),"NEED PR",IF(AND(Y197&lt;&gt;"",Y197&lt;J197),"SHORT","")))))))</f>
        <v/>
      </c>
      <c r="AG197" s="35"/>
    </row>
    <row r="198" customFormat="false" ht="15" hidden="false" customHeight="false" outlineLevel="0" collapsed="false">
      <c r="A198" s="34" t="str">
        <f aca="false">IF(B198="","",LEFT(B198,3)&amp;"-"&amp;TEXT(COUNTIF(B$11:B198,B198),"00"))</f>
        <v/>
      </c>
      <c r="B198" s="35"/>
      <c r="C198" s="35"/>
      <c r="D198" s="35"/>
      <c r="E198" s="35"/>
      <c r="F198" s="35"/>
      <c r="G198" s="35"/>
      <c r="H198" s="35"/>
      <c r="I198" s="35"/>
      <c r="J198" s="34" t="str">
        <f aca="false">IF(H198="","",H198*IF(I198="",1,I198))</f>
        <v/>
      </c>
      <c r="K198" s="35"/>
      <c r="L198" s="35"/>
      <c r="M198" s="35"/>
      <c r="N198" s="35"/>
      <c r="O198" s="35"/>
      <c r="P198" s="36"/>
      <c r="Q198" s="36"/>
      <c r="R198" s="35"/>
      <c r="S198" s="35"/>
      <c r="T198" s="35"/>
      <c r="U198" s="35"/>
      <c r="V198" s="36"/>
      <c r="W198" s="36"/>
      <c r="X198" s="35"/>
      <c r="Y198" s="35"/>
      <c r="Z198" s="36"/>
      <c r="AA198" s="37"/>
      <c r="AB198" s="38" t="str">
        <f aca="false">IF(OR(AA198="",J198=""),"",AA198*J198)</f>
        <v/>
      </c>
      <c r="AC198" s="35"/>
      <c r="AD198" s="35"/>
      <c r="AE198" s="36"/>
      <c r="AF198" s="34" t="str">
        <f aca="true">IF(OR(D198="",R198="Cancelled"),"",IF(H198="","NO QTY",IF(AND(L198="Buy",E198=""),"NO PART NO",IF(AND(W198&lt;&gt;"",NOT(OR(R198="Received",R198="NSW Purchased")),W198&lt;TODAY()),"OVERDUE",IF(AND(W198&lt;&gt;"",Q198&lt;&gt;"",W198&gt;Q198),"LATE vs REQ",IF(AND(R198="Finalized – Not Purchased",T198=""),"NEED PR",IF(AND(Y198&lt;&gt;"",Y198&lt;J198),"SHORT","")))))))</f>
        <v/>
      </c>
      <c r="AG198" s="35"/>
    </row>
    <row r="199" customFormat="false" ht="15" hidden="false" customHeight="false" outlineLevel="0" collapsed="false">
      <c r="A199" s="34" t="str">
        <f aca="false">IF(B199="","",LEFT(B199,3)&amp;"-"&amp;TEXT(COUNTIF(B$11:B199,B199),"00"))</f>
        <v/>
      </c>
      <c r="B199" s="35"/>
      <c r="C199" s="35"/>
      <c r="D199" s="35"/>
      <c r="E199" s="35"/>
      <c r="F199" s="35"/>
      <c r="G199" s="35"/>
      <c r="H199" s="35"/>
      <c r="I199" s="35"/>
      <c r="J199" s="34" t="str">
        <f aca="false">IF(H199="","",H199*IF(I199="",1,I199))</f>
        <v/>
      </c>
      <c r="K199" s="35"/>
      <c r="L199" s="35"/>
      <c r="M199" s="35"/>
      <c r="N199" s="35"/>
      <c r="O199" s="35"/>
      <c r="P199" s="36"/>
      <c r="Q199" s="36"/>
      <c r="R199" s="35"/>
      <c r="S199" s="35"/>
      <c r="T199" s="35"/>
      <c r="U199" s="35"/>
      <c r="V199" s="36"/>
      <c r="W199" s="36"/>
      <c r="X199" s="35"/>
      <c r="Y199" s="35"/>
      <c r="Z199" s="36"/>
      <c r="AA199" s="37"/>
      <c r="AB199" s="38" t="str">
        <f aca="false">IF(OR(AA199="",J199=""),"",AA199*J199)</f>
        <v/>
      </c>
      <c r="AC199" s="35"/>
      <c r="AD199" s="35"/>
      <c r="AE199" s="36"/>
      <c r="AF199" s="34" t="str">
        <f aca="true">IF(OR(D199="",R199="Cancelled"),"",IF(H199="","NO QTY",IF(AND(L199="Buy",E199=""),"NO PART NO",IF(AND(W199&lt;&gt;"",NOT(OR(R199="Received",R199="NSW Purchased")),W199&lt;TODAY()),"OVERDUE",IF(AND(W199&lt;&gt;"",Q199&lt;&gt;"",W199&gt;Q199),"LATE vs REQ",IF(AND(R199="Finalized – Not Purchased",T199=""),"NEED PR",IF(AND(Y199&lt;&gt;"",Y199&lt;J199),"SHORT","")))))))</f>
        <v/>
      </c>
      <c r="AG199" s="35"/>
    </row>
    <row r="200" customFormat="false" ht="15" hidden="false" customHeight="false" outlineLevel="0" collapsed="false">
      <c r="A200" s="34" t="str">
        <f aca="false">IF(B200="","",LEFT(B200,3)&amp;"-"&amp;TEXT(COUNTIF(B$11:B200,B200),"00"))</f>
        <v/>
      </c>
      <c r="B200" s="35"/>
      <c r="C200" s="35"/>
      <c r="D200" s="35"/>
      <c r="E200" s="35"/>
      <c r="F200" s="35"/>
      <c r="G200" s="35"/>
      <c r="H200" s="35"/>
      <c r="I200" s="35"/>
      <c r="J200" s="34" t="str">
        <f aca="false">IF(H200="","",H200*IF(I200="",1,I200))</f>
        <v/>
      </c>
      <c r="K200" s="35"/>
      <c r="L200" s="35"/>
      <c r="M200" s="35"/>
      <c r="N200" s="35"/>
      <c r="O200" s="35"/>
      <c r="P200" s="36"/>
      <c r="Q200" s="36"/>
      <c r="R200" s="35"/>
      <c r="S200" s="35"/>
      <c r="T200" s="35"/>
      <c r="U200" s="35"/>
      <c r="V200" s="36"/>
      <c r="W200" s="36"/>
      <c r="X200" s="35"/>
      <c r="Y200" s="35"/>
      <c r="Z200" s="36"/>
      <c r="AA200" s="37"/>
      <c r="AB200" s="38" t="str">
        <f aca="false">IF(OR(AA200="",J200=""),"",AA200*J200)</f>
        <v/>
      </c>
      <c r="AC200" s="35"/>
      <c r="AD200" s="35"/>
      <c r="AE200" s="36"/>
      <c r="AF200" s="34" t="str">
        <f aca="true">IF(OR(D200="",R200="Cancelled"),"",IF(H200="","NO QTY",IF(AND(L200="Buy",E200=""),"NO PART NO",IF(AND(W200&lt;&gt;"",NOT(OR(R200="Received",R200="NSW Purchased")),W200&lt;TODAY()),"OVERDUE",IF(AND(W200&lt;&gt;"",Q200&lt;&gt;"",W200&gt;Q200),"LATE vs REQ",IF(AND(R200="Finalized – Not Purchased",T200=""),"NEED PR",IF(AND(Y200&lt;&gt;"",Y200&lt;J200),"SHORT","")))))))</f>
        <v/>
      </c>
      <c r="AG200" s="35"/>
    </row>
    <row r="201" customFormat="false" ht="15" hidden="false" customHeight="false" outlineLevel="0" collapsed="false">
      <c r="A201" s="34" t="str">
        <f aca="false">IF(B201="","",LEFT(B201,3)&amp;"-"&amp;TEXT(COUNTIF(B$11:B201,B201),"00"))</f>
        <v/>
      </c>
      <c r="B201" s="35"/>
      <c r="C201" s="35"/>
      <c r="D201" s="35"/>
      <c r="E201" s="35"/>
      <c r="F201" s="35"/>
      <c r="G201" s="35"/>
      <c r="H201" s="35"/>
      <c r="I201" s="35"/>
      <c r="J201" s="34" t="str">
        <f aca="false">IF(H201="","",H201*IF(I201="",1,I201))</f>
        <v/>
      </c>
      <c r="K201" s="35"/>
      <c r="L201" s="35"/>
      <c r="M201" s="35"/>
      <c r="N201" s="35"/>
      <c r="O201" s="35"/>
      <c r="P201" s="36"/>
      <c r="Q201" s="36"/>
      <c r="R201" s="35"/>
      <c r="S201" s="35"/>
      <c r="T201" s="35"/>
      <c r="U201" s="35"/>
      <c r="V201" s="36"/>
      <c r="W201" s="36"/>
      <c r="X201" s="35"/>
      <c r="Y201" s="35"/>
      <c r="Z201" s="36"/>
      <c r="AA201" s="37"/>
      <c r="AB201" s="38" t="str">
        <f aca="false">IF(OR(AA201="",J201=""),"",AA201*J201)</f>
        <v/>
      </c>
      <c r="AC201" s="35"/>
      <c r="AD201" s="35"/>
      <c r="AE201" s="36"/>
      <c r="AF201" s="34" t="str">
        <f aca="true">IF(OR(D201="",R201="Cancelled"),"",IF(H201="","NO QTY",IF(AND(L201="Buy",E201=""),"NO PART NO",IF(AND(W201&lt;&gt;"",NOT(OR(R201="Received",R201="NSW Purchased")),W201&lt;TODAY()),"OVERDUE",IF(AND(W201&lt;&gt;"",Q201&lt;&gt;"",W201&gt;Q201),"LATE vs REQ",IF(AND(R201="Finalized – Not Purchased",T201=""),"NEED PR",IF(AND(Y201&lt;&gt;"",Y201&lt;J201),"SHORT","")))))))</f>
        <v/>
      </c>
      <c r="AG201" s="35"/>
    </row>
    <row r="202" customFormat="false" ht="15" hidden="false" customHeight="false" outlineLevel="0" collapsed="false">
      <c r="A202" s="34" t="str">
        <f aca="false">IF(B202="","",LEFT(B202,3)&amp;"-"&amp;TEXT(COUNTIF(B$11:B202,B202),"00"))</f>
        <v/>
      </c>
      <c r="B202" s="35"/>
      <c r="C202" s="35"/>
      <c r="D202" s="35"/>
      <c r="E202" s="35"/>
      <c r="F202" s="35"/>
      <c r="G202" s="35"/>
      <c r="H202" s="35"/>
      <c r="I202" s="35"/>
      <c r="J202" s="34" t="str">
        <f aca="false">IF(H202="","",H202*IF(I202="",1,I202))</f>
        <v/>
      </c>
      <c r="K202" s="35"/>
      <c r="L202" s="35"/>
      <c r="M202" s="35"/>
      <c r="N202" s="35"/>
      <c r="O202" s="35"/>
      <c r="P202" s="36"/>
      <c r="Q202" s="36"/>
      <c r="R202" s="35"/>
      <c r="S202" s="35"/>
      <c r="T202" s="35"/>
      <c r="U202" s="35"/>
      <c r="V202" s="36"/>
      <c r="W202" s="36"/>
      <c r="X202" s="35"/>
      <c r="Y202" s="35"/>
      <c r="Z202" s="36"/>
      <c r="AA202" s="37"/>
      <c r="AB202" s="38" t="str">
        <f aca="false">IF(OR(AA202="",J202=""),"",AA202*J202)</f>
        <v/>
      </c>
      <c r="AC202" s="35"/>
      <c r="AD202" s="35"/>
      <c r="AE202" s="36"/>
      <c r="AF202" s="34" t="str">
        <f aca="true">IF(OR(D202="",R202="Cancelled"),"",IF(H202="","NO QTY",IF(AND(L202="Buy",E202=""),"NO PART NO",IF(AND(W202&lt;&gt;"",NOT(OR(R202="Received",R202="NSW Purchased")),W202&lt;TODAY()),"OVERDUE",IF(AND(W202&lt;&gt;"",Q202&lt;&gt;"",W202&gt;Q202),"LATE vs REQ",IF(AND(R202="Finalized – Not Purchased",T202=""),"NEED PR",IF(AND(Y202&lt;&gt;"",Y202&lt;J202),"SHORT","")))))))</f>
        <v/>
      </c>
      <c r="AG202" s="35"/>
    </row>
    <row r="203" customFormat="false" ht="15" hidden="false" customHeight="false" outlineLevel="0" collapsed="false">
      <c r="A203" s="34" t="str">
        <f aca="false">IF(B203="","",LEFT(B203,3)&amp;"-"&amp;TEXT(COUNTIF(B$11:B203,B203),"00"))</f>
        <v/>
      </c>
      <c r="B203" s="35"/>
      <c r="C203" s="35"/>
      <c r="D203" s="35"/>
      <c r="E203" s="35"/>
      <c r="F203" s="35"/>
      <c r="G203" s="35"/>
      <c r="H203" s="35"/>
      <c r="I203" s="35"/>
      <c r="J203" s="34" t="str">
        <f aca="false">IF(H203="","",H203*IF(I203="",1,I203))</f>
        <v/>
      </c>
      <c r="K203" s="35"/>
      <c r="L203" s="35"/>
      <c r="M203" s="35"/>
      <c r="N203" s="35"/>
      <c r="O203" s="35"/>
      <c r="P203" s="36"/>
      <c r="Q203" s="36"/>
      <c r="R203" s="35"/>
      <c r="S203" s="35"/>
      <c r="T203" s="35"/>
      <c r="U203" s="35"/>
      <c r="V203" s="36"/>
      <c r="W203" s="36"/>
      <c r="X203" s="35"/>
      <c r="Y203" s="35"/>
      <c r="Z203" s="36"/>
      <c r="AA203" s="37"/>
      <c r="AB203" s="38" t="str">
        <f aca="false">IF(OR(AA203="",J203=""),"",AA203*J203)</f>
        <v/>
      </c>
      <c r="AC203" s="35"/>
      <c r="AD203" s="35"/>
      <c r="AE203" s="36"/>
      <c r="AF203" s="34" t="str">
        <f aca="true">IF(OR(D203="",R203="Cancelled"),"",IF(H203="","NO QTY",IF(AND(L203="Buy",E203=""),"NO PART NO",IF(AND(W203&lt;&gt;"",NOT(OR(R203="Received",R203="NSW Purchased")),W203&lt;TODAY()),"OVERDUE",IF(AND(W203&lt;&gt;"",Q203&lt;&gt;"",W203&gt;Q203),"LATE vs REQ",IF(AND(R203="Finalized – Not Purchased",T203=""),"NEED PR",IF(AND(Y203&lt;&gt;"",Y203&lt;J203),"SHORT","")))))))</f>
        <v/>
      </c>
      <c r="AG203" s="35"/>
    </row>
    <row r="204" customFormat="false" ht="15" hidden="false" customHeight="false" outlineLevel="0" collapsed="false">
      <c r="A204" s="34" t="str">
        <f aca="false">IF(B204="","",LEFT(B204,3)&amp;"-"&amp;TEXT(COUNTIF(B$11:B204,B204),"00"))</f>
        <v/>
      </c>
      <c r="B204" s="35"/>
      <c r="C204" s="35"/>
      <c r="D204" s="35"/>
      <c r="E204" s="35"/>
      <c r="F204" s="35"/>
      <c r="G204" s="35"/>
      <c r="H204" s="35"/>
      <c r="I204" s="35"/>
      <c r="J204" s="34" t="str">
        <f aca="false">IF(H204="","",H204*IF(I204="",1,I204))</f>
        <v/>
      </c>
      <c r="K204" s="35"/>
      <c r="L204" s="35"/>
      <c r="M204" s="35"/>
      <c r="N204" s="35"/>
      <c r="O204" s="35"/>
      <c r="P204" s="36"/>
      <c r="Q204" s="36"/>
      <c r="R204" s="35"/>
      <c r="S204" s="35"/>
      <c r="T204" s="35"/>
      <c r="U204" s="35"/>
      <c r="V204" s="36"/>
      <c r="W204" s="36"/>
      <c r="X204" s="35"/>
      <c r="Y204" s="35"/>
      <c r="Z204" s="36"/>
      <c r="AA204" s="37"/>
      <c r="AB204" s="38" t="str">
        <f aca="false">IF(OR(AA204="",J204=""),"",AA204*J204)</f>
        <v/>
      </c>
      <c r="AC204" s="35"/>
      <c r="AD204" s="35"/>
      <c r="AE204" s="36"/>
      <c r="AF204" s="34" t="str">
        <f aca="true">IF(OR(D204="",R204="Cancelled"),"",IF(H204="","NO QTY",IF(AND(L204="Buy",E204=""),"NO PART NO",IF(AND(W204&lt;&gt;"",NOT(OR(R204="Received",R204="NSW Purchased")),W204&lt;TODAY()),"OVERDUE",IF(AND(W204&lt;&gt;"",Q204&lt;&gt;"",W204&gt;Q204),"LATE vs REQ",IF(AND(R204="Finalized – Not Purchased",T204=""),"NEED PR",IF(AND(Y204&lt;&gt;"",Y204&lt;J204),"SHORT","")))))))</f>
        <v/>
      </c>
      <c r="AG204" s="35"/>
    </row>
    <row r="205" customFormat="false" ht="15" hidden="false" customHeight="false" outlineLevel="0" collapsed="false">
      <c r="A205" s="34" t="str">
        <f aca="false">IF(B205="","",LEFT(B205,3)&amp;"-"&amp;TEXT(COUNTIF(B$11:B205,B205),"00"))</f>
        <v/>
      </c>
      <c r="B205" s="35"/>
      <c r="C205" s="35"/>
      <c r="D205" s="35"/>
      <c r="E205" s="35"/>
      <c r="F205" s="35"/>
      <c r="G205" s="35"/>
      <c r="H205" s="35"/>
      <c r="I205" s="35"/>
      <c r="J205" s="34" t="str">
        <f aca="false">IF(H205="","",H205*IF(I205="",1,I205))</f>
        <v/>
      </c>
      <c r="K205" s="35"/>
      <c r="L205" s="35"/>
      <c r="M205" s="35"/>
      <c r="N205" s="35"/>
      <c r="O205" s="35"/>
      <c r="P205" s="36"/>
      <c r="Q205" s="36"/>
      <c r="R205" s="35"/>
      <c r="S205" s="35"/>
      <c r="T205" s="35"/>
      <c r="U205" s="35"/>
      <c r="V205" s="36"/>
      <c r="W205" s="36"/>
      <c r="X205" s="35"/>
      <c r="Y205" s="35"/>
      <c r="Z205" s="36"/>
      <c r="AA205" s="37"/>
      <c r="AB205" s="38" t="str">
        <f aca="false">IF(OR(AA205="",J205=""),"",AA205*J205)</f>
        <v/>
      </c>
      <c r="AC205" s="35"/>
      <c r="AD205" s="35"/>
      <c r="AE205" s="36"/>
      <c r="AF205" s="34" t="str">
        <f aca="true">IF(OR(D205="",R205="Cancelled"),"",IF(H205="","NO QTY",IF(AND(L205="Buy",E205=""),"NO PART NO",IF(AND(W205&lt;&gt;"",NOT(OR(R205="Received",R205="NSW Purchased")),W205&lt;TODAY()),"OVERDUE",IF(AND(W205&lt;&gt;"",Q205&lt;&gt;"",W205&gt;Q205),"LATE vs REQ",IF(AND(R205="Finalized – Not Purchased",T205=""),"NEED PR",IF(AND(Y205&lt;&gt;"",Y205&lt;J205),"SHORT","")))))))</f>
        <v/>
      </c>
      <c r="AG205" s="35"/>
    </row>
    <row r="206" customFormat="false" ht="15" hidden="false" customHeight="false" outlineLevel="0" collapsed="false">
      <c r="A206" s="34" t="str">
        <f aca="false">IF(B206="","",LEFT(B206,3)&amp;"-"&amp;TEXT(COUNTIF(B$11:B206,B206),"00"))</f>
        <v/>
      </c>
      <c r="B206" s="35"/>
      <c r="C206" s="35"/>
      <c r="D206" s="35"/>
      <c r="E206" s="35"/>
      <c r="F206" s="35"/>
      <c r="G206" s="35"/>
      <c r="H206" s="35"/>
      <c r="I206" s="35"/>
      <c r="J206" s="34" t="str">
        <f aca="false">IF(H206="","",H206*IF(I206="",1,I206))</f>
        <v/>
      </c>
      <c r="K206" s="35"/>
      <c r="L206" s="35"/>
      <c r="M206" s="35"/>
      <c r="N206" s="35"/>
      <c r="O206" s="35"/>
      <c r="P206" s="36"/>
      <c r="Q206" s="36"/>
      <c r="R206" s="35"/>
      <c r="S206" s="35"/>
      <c r="T206" s="35"/>
      <c r="U206" s="35"/>
      <c r="V206" s="36"/>
      <c r="W206" s="36"/>
      <c r="X206" s="35"/>
      <c r="Y206" s="35"/>
      <c r="Z206" s="36"/>
      <c r="AA206" s="37"/>
      <c r="AB206" s="38" t="str">
        <f aca="false">IF(OR(AA206="",J206=""),"",AA206*J206)</f>
        <v/>
      </c>
      <c r="AC206" s="35"/>
      <c r="AD206" s="35"/>
      <c r="AE206" s="36"/>
      <c r="AF206" s="34" t="str">
        <f aca="true">IF(OR(D206="",R206="Cancelled"),"",IF(H206="","NO QTY",IF(AND(L206="Buy",E206=""),"NO PART NO",IF(AND(W206&lt;&gt;"",NOT(OR(R206="Received",R206="NSW Purchased")),W206&lt;TODAY()),"OVERDUE",IF(AND(W206&lt;&gt;"",Q206&lt;&gt;"",W206&gt;Q206),"LATE vs REQ",IF(AND(R206="Finalized – Not Purchased",T206=""),"NEED PR",IF(AND(Y206&lt;&gt;"",Y206&lt;J206),"SHORT","")))))))</f>
        <v/>
      </c>
      <c r="AG206" s="35"/>
    </row>
    <row r="207" customFormat="false" ht="15" hidden="false" customHeight="false" outlineLevel="0" collapsed="false">
      <c r="A207" s="34" t="str">
        <f aca="false">IF(B207="","",LEFT(B207,3)&amp;"-"&amp;TEXT(COUNTIF(B$11:B207,B207),"00"))</f>
        <v/>
      </c>
      <c r="B207" s="35"/>
      <c r="C207" s="35"/>
      <c r="D207" s="35"/>
      <c r="E207" s="35"/>
      <c r="F207" s="35"/>
      <c r="G207" s="35"/>
      <c r="H207" s="35"/>
      <c r="I207" s="35"/>
      <c r="J207" s="34" t="str">
        <f aca="false">IF(H207="","",H207*IF(I207="",1,I207))</f>
        <v/>
      </c>
      <c r="K207" s="35"/>
      <c r="L207" s="35"/>
      <c r="M207" s="35"/>
      <c r="N207" s="35"/>
      <c r="O207" s="35"/>
      <c r="P207" s="36"/>
      <c r="Q207" s="36"/>
      <c r="R207" s="35"/>
      <c r="S207" s="35"/>
      <c r="T207" s="35"/>
      <c r="U207" s="35"/>
      <c r="V207" s="36"/>
      <c r="W207" s="36"/>
      <c r="X207" s="35"/>
      <c r="Y207" s="35"/>
      <c r="Z207" s="36"/>
      <c r="AA207" s="37"/>
      <c r="AB207" s="38" t="str">
        <f aca="false">IF(OR(AA207="",J207=""),"",AA207*J207)</f>
        <v/>
      </c>
      <c r="AC207" s="35"/>
      <c r="AD207" s="35"/>
      <c r="AE207" s="36"/>
      <c r="AF207" s="34" t="str">
        <f aca="true">IF(OR(D207="",R207="Cancelled"),"",IF(H207="","NO QTY",IF(AND(L207="Buy",E207=""),"NO PART NO",IF(AND(W207&lt;&gt;"",NOT(OR(R207="Received",R207="NSW Purchased")),W207&lt;TODAY()),"OVERDUE",IF(AND(W207&lt;&gt;"",Q207&lt;&gt;"",W207&gt;Q207),"LATE vs REQ",IF(AND(R207="Finalized – Not Purchased",T207=""),"NEED PR",IF(AND(Y207&lt;&gt;"",Y207&lt;J207),"SHORT","")))))))</f>
        <v/>
      </c>
      <c r="AG207" s="35"/>
    </row>
    <row r="208" customFormat="false" ht="15" hidden="false" customHeight="false" outlineLevel="0" collapsed="false">
      <c r="A208" s="34" t="str">
        <f aca="false">IF(B208="","",LEFT(B208,3)&amp;"-"&amp;TEXT(COUNTIF(B$11:B208,B208),"00"))</f>
        <v/>
      </c>
      <c r="B208" s="35"/>
      <c r="C208" s="35"/>
      <c r="D208" s="35"/>
      <c r="E208" s="35"/>
      <c r="F208" s="35"/>
      <c r="G208" s="35"/>
      <c r="H208" s="35"/>
      <c r="I208" s="35"/>
      <c r="J208" s="34" t="str">
        <f aca="false">IF(H208="","",H208*IF(I208="",1,I208))</f>
        <v/>
      </c>
      <c r="K208" s="35"/>
      <c r="L208" s="35"/>
      <c r="M208" s="35"/>
      <c r="N208" s="35"/>
      <c r="O208" s="35"/>
      <c r="P208" s="36"/>
      <c r="Q208" s="36"/>
      <c r="R208" s="35"/>
      <c r="S208" s="35"/>
      <c r="T208" s="35"/>
      <c r="U208" s="35"/>
      <c r="V208" s="36"/>
      <c r="W208" s="36"/>
      <c r="X208" s="35"/>
      <c r="Y208" s="35"/>
      <c r="Z208" s="36"/>
      <c r="AA208" s="37"/>
      <c r="AB208" s="38" t="str">
        <f aca="false">IF(OR(AA208="",J208=""),"",AA208*J208)</f>
        <v/>
      </c>
      <c r="AC208" s="35"/>
      <c r="AD208" s="35"/>
      <c r="AE208" s="36"/>
      <c r="AF208" s="34" t="str">
        <f aca="true">IF(OR(D208="",R208="Cancelled"),"",IF(H208="","NO QTY",IF(AND(L208="Buy",E208=""),"NO PART NO",IF(AND(W208&lt;&gt;"",NOT(OR(R208="Received",R208="NSW Purchased")),W208&lt;TODAY()),"OVERDUE",IF(AND(W208&lt;&gt;"",Q208&lt;&gt;"",W208&gt;Q208),"LATE vs REQ",IF(AND(R208="Finalized – Not Purchased",T208=""),"NEED PR",IF(AND(Y208&lt;&gt;"",Y208&lt;J208),"SHORT","")))))))</f>
        <v/>
      </c>
      <c r="AG208" s="35"/>
    </row>
    <row r="209" customFormat="false" ht="15" hidden="false" customHeight="false" outlineLevel="0" collapsed="false">
      <c r="A209" s="34" t="str">
        <f aca="false">IF(B209="","",LEFT(B209,3)&amp;"-"&amp;TEXT(COUNTIF(B$11:B209,B209),"00"))</f>
        <v/>
      </c>
      <c r="B209" s="35"/>
      <c r="C209" s="35"/>
      <c r="D209" s="35"/>
      <c r="E209" s="35"/>
      <c r="F209" s="35"/>
      <c r="G209" s="35"/>
      <c r="H209" s="35"/>
      <c r="I209" s="35"/>
      <c r="J209" s="34" t="str">
        <f aca="false">IF(H209="","",H209*IF(I209="",1,I209))</f>
        <v/>
      </c>
      <c r="K209" s="35"/>
      <c r="L209" s="35"/>
      <c r="M209" s="35"/>
      <c r="N209" s="35"/>
      <c r="O209" s="35"/>
      <c r="P209" s="36"/>
      <c r="Q209" s="36"/>
      <c r="R209" s="35"/>
      <c r="S209" s="35"/>
      <c r="T209" s="35"/>
      <c r="U209" s="35"/>
      <c r="V209" s="36"/>
      <c r="W209" s="36"/>
      <c r="X209" s="35"/>
      <c r="Y209" s="35"/>
      <c r="Z209" s="36"/>
      <c r="AA209" s="37"/>
      <c r="AB209" s="38" t="str">
        <f aca="false">IF(OR(AA209="",J209=""),"",AA209*J209)</f>
        <v/>
      </c>
      <c r="AC209" s="35"/>
      <c r="AD209" s="35"/>
      <c r="AE209" s="36"/>
      <c r="AF209" s="34" t="str">
        <f aca="true">IF(OR(D209="",R209="Cancelled"),"",IF(H209="","NO QTY",IF(AND(L209="Buy",E209=""),"NO PART NO",IF(AND(W209&lt;&gt;"",NOT(OR(R209="Received",R209="NSW Purchased")),W209&lt;TODAY()),"OVERDUE",IF(AND(W209&lt;&gt;"",Q209&lt;&gt;"",W209&gt;Q209),"LATE vs REQ",IF(AND(R209="Finalized – Not Purchased",T209=""),"NEED PR",IF(AND(Y209&lt;&gt;"",Y209&lt;J209),"SHORT","")))))))</f>
        <v/>
      </c>
      <c r="AG209" s="35"/>
    </row>
    <row r="210" customFormat="false" ht="15" hidden="false" customHeight="false" outlineLevel="0" collapsed="false">
      <c r="A210" s="34" t="str">
        <f aca="false">IF(B210="","",LEFT(B210,3)&amp;"-"&amp;TEXT(COUNTIF(B$11:B210,B210),"00"))</f>
        <v/>
      </c>
      <c r="B210" s="35"/>
      <c r="C210" s="35"/>
      <c r="D210" s="35"/>
      <c r="E210" s="35"/>
      <c r="F210" s="35"/>
      <c r="G210" s="35"/>
      <c r="H210" s="35"/>
      <c r="I210" s="35"/>
      <c r="J210" s="34" t="str">
        <f aca="false">IF(H210="","",H210*IF(I210="",1,I210))</f>
        <v/>
      </c>
      <c r="K210" s="35"/>
      <c r="L210" s="35"/>
      <c r="M210" s="35"/>
      <c r="N210" s="35"/>
      <c r="O210" s="35"/>
      <c r="P210" s="36"/>
      <c r="Q210" s="36"/>
      <c r="R210" s="35"/>
      <c r="S210" s="35"/>
      <c r="T210" s="35"/>
      <c r="U210" s="35"/>
      <c r="V210" s="36"/>
      <c r="W210" s="36"/>
      <c r="X210" s="35"/>
      <c r="Y210" s="35"/>
      <c r="Z210" s="36"/>
      <c r="AA210" s="37"/>
      <c r="AB210" s="38" t="str">
        <f aca="false">IF(OR(AA210="",J210=""),"",AA210*J210)</f>
        <v/>
      </c>
      <c r="AC210" s="35"/>
      <c r="AD210" s="35"/>
      <c r="AE210" s="36"/>
      <c r="AF210" s="34" t="str">
        <f aca="true">IF(OR(D210="",R210="Cancelled"),"",IF(H210="","NO QTY",IF(AND(L210="Buy",E210=""),"NO PART NO",IF(AND(W210&lt;&gt;"",NOT(OR(R210="Received",R210="NSW Purchased")),W210&lt;TODAY()),"OVERDUE",IF(AND(W210&lt;&gt;"",Q210&lt;&gt;"",W210&gt;Q210),"LATE vs REQ",IF(AND(R210="Finalized – Not Purchased",T210=""),"NEED PR",IF(AND(Y210&lt;&gt;"",Y210&lt;J210),"SHORT","")))))))</f>
        <v/>
      </c>
      <c r="AG210" s="35"/>
    </row>
    <row r="211" customFormat="false" ht="15" hidden="false" customHeight="false" outlineLevel="0" collapsed="false">
      <c r="A211" s="34" t="str">
        <f aca="false">IF(B211="","",LEFT(B211,3)&amp;"-"&amp;TEXT(COUNTIF(B$11:B211,B211),"00"))</f>
        <v/>
      </c>
      <c r="B211" s="35"/>
      <c r="C211" s="35"/>
      <c r="D211" s="35"/>
      <c r="E211" s="35"/>
      <c r="F211" s="35"/>
      <c r="G211" s="35"/>
      <c r="H211" s="35"/>
      <c r="I211" s="35"/>
      <c r="J211" s="34" t="str">
        <f aca="false">IF(H211="","",H211*IF(I211="",1,I211))</f>
        <v/>
      </c>
      <c r="K211" s="35"/>
      <c r="L211" s="35"/>
      <c r="M211" s="35"/>
      <c r="N211" s="35"/>
      <c r="O211" s="35"/>
      <c r="P211" s="36"/>
      <c r="Q211" s="36"/>
      <c r="R211" s="35"/>
      <c r="S211" s="35"/>
      <c r="T211" s="35"/>
      <c r="U211" s="35"/>
      <c r="V211" s="36"/>
      <c r="W211" s="36"/>
      <c r="X211" s="35"/>
      <c r="Y211" s="35"/>
      <c r="Z211" s="36"/>
      <c r="AA211" s="37"/>
      <c r="AB211" s="38" t="str">
        <f aca="false">IF(OR(AA211="",J211=""),"",AA211*J211)</f>
        <v/>
      </c>
      <c r="AC211" s="35"/>
      <c r="AD211" s="35"/>
      <c r="AE211" s="36"/>
      <c r="AF211" s="34" t="str">
        <f aca="true">IF(OR(D211="",R211="Cancelled"),"",IF(H211="","NO QTY",IF(AND(L211="Buy",E211=""),"NO PART NO",IF(AND(W211&lt;&gt;"",NOT(OR(R211="Received",R211="NSW Purchased")),W211&lt;TODAY()),"OVERDUE",IF(AND(W211&lt;&gt;"",Q211&lt;&gt;"",W211&gt;Q211),"LATE vs REQ",IF(AND(R211="Finalized – Not Purchased",T211=""),"NEED PR",IF(AND(Y211&lt;&gt;"",Y211&lt;J211),"SHORT","")))))))</f>
        <v/>
      </c>
      <c r="AG211" s="35"/>
    </row>
    <row r="212" customFormat="false" ht="15" hidden="false" customHeight="false" outlineLevel="0" collapsed="false">
      <c r="A212" s="34" t="str">
        <f aca="false">IF(B212="","",LEFT(B212,3)&amp;"-"&amp;TEXT(COUNTIF(B$11:B212,B212),"00"))</f>
        <v/>
      </c>
      <c r="B212" s="35"/>
      <c r="C212" s="35"/>
      <c r="D212" s="35"/>
      <c r="E212" s="35"/>
      <c r="F212" s="35"/>
      <c r="G212" s="35"/>
      <c r="H212" s="35"/>
      <c r="I212" s="35"/>
      <c r="J212" s="34" t="str">
        <f aca="false">IF(H212="","",H212*IF(I212="",1,I212))</f>
        <v/>
      </c>
      <c r="K212" s="35"/>
      <c r="L212" s="35"/>
      <c r="M212" s="35"/>
      <c r="N212" s="35"/>
      <c r="O212" s="35"/>
      <c r="P212" s="36"/>
      <c r="Q212" s="36"/>
      <c r="R212" s="35"/>
      <c r="S212" s="35"/>
      <c r="T212" s="35"/>
      <c r="U212" s="35"/>
      <c r="V212" s="36"/>
      <c r="W212" s="36"/>
      <c r="X212" s="35"/>
      <c r="Y212" s="35"/>
      <c r="Z212" s="36"/>
      <c r="AA212" s="37"/>
      <c r="AB212" s="38" t="str">
        <f aca="false">IF(OR(AA212="",J212=""),"",AA212*J212)</f>
        <v/>
      </c>
      <c r="AC212" s="35"/>
      <c r="AD212" s="35"/>
      <c r="AE212" s="36"/>
      <c r="AF212" s="34" t="str">
        <f aca="true">IF(OR(D212="",R212="Cancelled"),"",IF(H212="","NO QTY",IF(AND(L212="Buy",E212=""),"NO PART NO",IF(AND(W212&lt;&gt;"",NOT(OR(R212="Received",R212="NSW Purchased")),W212&lt;TODAY()),"OVERDUE",IF(AND(W212&lt;&gt;"",Q212&lt;&gt;"",W212&gt;Q212),"LATE vs REQ",IF(AND(R212="Finalized – Not Purchased",T212=""),"NEED PR",IF(AND(Y212&lt;&gt;"",Y212&lt;J212),"SHORT","")))))))</f>
        <v/>
      </c>
      <c r="AG212" s="35"/>
    </row>
    <row r="213" customFormat="false" ht="15" hidden="false" customHeight="false" outlineLevel="0" collapsed="false">
      <c r="A213" s="34" t="str">
        <f aca="false">IF(B213="","",LEFT(B213,3)&amp;"-"&amp;TEXT(COUNTIF(B$11:B213,B213),"00"))</f>
        <v/>
      </c>
      <c r="B213" s="35"/>
      <c r="C213" s="35"/>
      <c r="D213" s="35"/>
      <c r="E213" s="35"/>
      <c r="F213" s="35"/>
      <c r="G213" s="35"/>
      <c r="H213" s="35"/>
      <c r="I213" s="35"/>
      <c r="J213" s="34" t="str">
        <f aca="false">IF(H213="","",H213*IF(I213="",1,I213))</f>
        <v/>
      </c>
      <c r="K213" s="35"/>
      <c r="L213" s="35"/>
      <c r="M213" s="35"/>
      <c r="N213" s="35"/>
      <c r="O213" s="35"/>
      <c r="P213" s="36"/>
      <c r="Q213" s="36"/>
      <c r="R213" s="35"/>
      <c r="S213" s="35"/>
      <c r="T213" s="35"/>
      <c r="U213" s="35"/>
      <c r="V213" s="36"/>
      <c r="W213" s="36"/>
      <c r="X213" s="35"/>
      <c r="Y213" s="35"/>
      <c r="Z213" s="36"/>
      <c r="AA213" s="37"/>
      <c r="AB213" s="38" t="str">
        <f aca="false">IF(OR(AA213="",J213=""),"",AA213*J213)</f>
        <v/>
      </c>
      <c r="AC213" s="35"/>
      <c r="AD213" s="35"/>
      <c r="AE213" s="36"/>
      <c r="AF213" s="34" t="str">
        <f aca="true">IF(OR(D213="",R213="Cancelled"),"",IF(H213="","NO QTY",IF(AND(L213="Buy",E213=""),"NO PART NO",IF(AND(W213&lt;&gt;"",NOT(OR(R213="Received",R213="NSW Purchased")),W213&lt;TODAY()),"OVERDUE",IF(AND(W213&lt;&gt;"",Q213&lt;&gt;"",W213&gt;Q213),"LATE vs REQ",IF(AND(R213="Finalized – Not Purchased",T213=""),"NEED PR",IF(AND(Y213&lt;&gt;"",Y213&lt;J213),"SHORT","")))))))</f>
        <v/>
      </c>
      <c r="AG213" s="35"/>
    </row>
    <row r="214" customFormat="false" ht="15" hidden="false" customHeight="false" outlineLevel="0" collapsed="false">
      <c r="A214" s="34" t="str">
        <f aca="false">IF(B214="","",LEFT(B214,3)&amp;"-"&amp;TEXT(COUNTIF(B$11:B214,B214),"00"))</f>
        <v/>
      </c>
      <c r="B214" s="35"/>
      <c r="C214" s="35"/>
      <c r="D214" s="35"/>
      <c r="E214" s="35"/>
      <c r="F214" s="35"/>
      <c r="G214" s="35"/>
      <c r="H214" s="35"/>
      <c r="I214" s="35"/>
      <c r="J214" s="34" t="str">
        <f aca="false">IF(H214="","",H214*IF(I214="",1,I214))</f>
        <v/>
      </c>
      <c r="K214" s="35"/>
      <c r="L214" s="35"/>
      <c r="M214" s="35"/>
      <c r="N214" s="35"/>
      <c r="O214" s="35"/>
      <c r="P214" s="36"/>
      <c r="Q214" s="36"/>
      <c r="R214" s="35"/>
      <c r="S214" s="35"/>
      <c r="T214" s="35"/>
      <c r="U214" s="35"/>
      <c r="V214" s="36"/>
      <c r="W214" s="36"/>
      <c r="X214" s="35"/>
      <c r="Y214" s="35"/>
      <c r="Z214" s="36"/>
      <c r="AA214" s="37"/>
      <c r="AB214" s="38" t="str">
        <f aca="false">IF(OR(AA214="",J214=""),"",AA214*J214)</f>
        <v/>
      </c>
      <c r="AC214" s="35"/>
      <c r="AD214" s="35"/>
      <c r="AE214" s="36"/>
      <c r="AF214" s="34" t="str">
        <f aca="true">IF(OR(D214="",R214="Cancelled"),"",IF(H214="","NO QTY",IF(AND(L214="Buy",E214=""),"NO PART NO",IF(AND(W214&lt;&gt;"",NOT(OR(R214="Received",R214="NSW Purchased")),W214&lt;TODAY()),"OVERDUE",IF(AND(W214&lt;&gt;"",Q214&lt;&gt;"",W214&gt;Q214),"LATE vs REQ",IF(AND(R214="Finalized – Not Purchased",T214=""),"NEED PR",IF(AND(Y214&lt;&gt;"",Y214&lt;J214),"SHORT","")))))))</f>
        <v/>
      </c>
      <c r="AG214" s="35"/>
    </row>
    <row r="215" customFormat="false" ht="15" hidden="false" customHeight="false" outlineLevel="0" collapsed="false">
      <c r="A215" s="34" t="str">
        <f aca="false">IF(B215="","",LEFT(B215,3)&amp;"-"&amp;TEXT(COUNTIF(B$11:B215,B215),"00"))</f>
        <v/>
      </c>
      <c r="B215" s="35"/>
      <c r="C215" s="35"/>
      <c r="D215" s="35"/>
      <c r="E215" s="35"/>
      <c r="F215" s="35"/>
      <c r="G215" s="35"/>
      <c r="H215" s="35"/>
      <c r="I215" s="35"/>
      <c r="J215" s="34" t="str">
        <f aca="false">IF(H215="","",H215*IF(I215="",1,I215))</f>
        <v/>
      </c>
      <c r="K215" s="35"/>
      <c r="L215" s="35"/>
      <c r="M215" s="35"/>
      <c r="N215" s="35"/>
      <c r="O215" s="35"/>
      <c r="P215" s="36"/>
      <c r="Q215" s="36"/>
      <c r="R215" s="35"/>
      <c r="S215" s="35"/>
      <c r="T215" s="35"/>
      <c r="U215" s="35"/>
      <c r="V215" s="36"/>
      <c r="W215" s="36"/>
      <c r="X215" s="35"/>
      <c r="Y215" s="35"/>
      <c r="Z215" s="36"/>
      <c r="AA215" s="37"/>
      <c r="AB215" s="38" t="str">
        <f aca="false">IF(OR(AA215="",J215=""),"",AA215*J215)</f>
        <v/>
      </c>
      <c r="AC215" s="35"/>
      <c r="AD215" s="35"/>
      <c r="AE215" s="36"/>
      <c r="AF215" s="34" t="str">
        <f aca="true">IF(OR(D215="",R215="Cancelled"),"",IF(H215="","NO QTY",IF(AND(L215="Buy",E215=""),"NO PART NO",IF(AND(W215&lt;&gt;"",NOT(OR(R215="Received",R215="NSW Purchased")),W215&lt;TODAY()),"OVERDUE",IF(AND(W215&lt;&gt;"",Q215&lt;&gt;"",W215&gt;Q215),"LATE vs REQ",IF(AND(R215="Finalized – Not Purchased",T215=""),"NEED PR",IF(AND(Y215&lt;&gt;"",Y215&lt;J215),"SHORT","")))))))</f>
        <v/>
      </c>
      <c r="AG215" s="35"/>
    </row>
    <row r="216" customFormat="false" ht="15" hidden="false" customHeight="false" outlineLevel="0" collapsed="false">
      <c r="A216" s="34" t="str">
        <f aca="false">IF(B216="","",LEFT(B216,3)&amp;"-"&amp;TEXT(COUNTIF(B$11:B216,B216),"00"))</f>
        <v/>
      </c>
      <c r="B216" s="35"/>
      <c r="C216" s="35"/>
      <c r="D216" s="35"/>
      <c r="E216" s="35"/>
      <c r="F216" s="35"/>
      <c r="G216" s="35"/>
      <c r="H216" s="35"/>
      <c r="I216" s="35"/>
      <c r="J216" s="34" t="str">
        <f aca="false">IF(H216="","",H216*IF(I216="",1,I216))</f>
        <v/>
      </c>
      <c r="K216" s="35"/>
      <c r="L216" s="35"/>
      <c r="M216" s="35"/>
      <c r="N216" s="35"/>
      <c r="O216" s="35"/>
      <c r="P216" s="36"/>
      <c r="Q216" s="36"/>
      <c r="R216" s="35"/>
      <c r="S216" s="35"/>
      <c r="T216" s="35"/>
      <c r="U216" s="35"/>
      <c r="V216" s="36"/>
      <c r="W216" s="36"/>
      <c r="X216" s="35"/>
      <c r="Y216" s="35"/>
      <c r="Z216" s="36"/>
      <c r="AA216" s="37"/>
      <c r="AB216" s="38" t="str">
        <f aca="false">IF(OR(AA216="",J216=""),"",AA216*J216)</f>
        <v/>
      </c>
      <c r="AC216" s="35"/>
      <c r="AD216" s="35"/>
      <c r="AE216" s="36"/>
      <c r="AF216" s="34" t="str">
        <f aca="true">IF(OR(D216="",R216="Cancelled"),"",IF(H216="","NO QTY",IF(AND(L216="Buy",E216=""),"NO PART NO",IF(AND(W216&lt;&gt;"",NOT(OR(R216="Received",R216="NSW Purchased")),W216&lt;TODAY()),"OVERDUE",IF(AND(W216&lt;&gt;"",Q216&lt;&gt;"",W216&gt;Q216),"LATE vs REQ",IF(AND(R216="Finalized – Not Purchased",T216=""),"NEED PR",IF(AND(Y216&lt;&gt;"",Y216&lt;J216),"SHORT","")))))))</f>
        <v/>
      </c>
      <c r="AG216" s="35"/>
    </row>
    <row r="217" customFormat="false" ht="15" hidden="false" customHeight="false" outlineLevel="0" collapsed="false">
      <c r="A217" s="34" t="str">
        <f aca="false">IF(B217="","",LEFT(B217,3)&amp;"-"&amp;TEXT(COUNTIF(B$11:B217,B217),"00"))</f>
        <v/>
      </c>
      <c r="B217" s="35"/>
      <c r="C217" s="35"/>
      <c r="D217" s="35"/>
      <c r="E217" s="35"/>
      <c r="F217" s="35"/>
      <c r="G217" s="35"/>
      <c r="H217" s="35"/>
      <c r="I217" s="35"/>
      <c r="J217" s="34" t="str">
        <f aca="false">IF(H217="","",H217*IF(I217="",1,I217))</f>
        <v/>
      </c>
      <c r="K217" s="35"/>
      <c r="L217" s="35"/>
      <c r="M217" s="35"/>
      <c r="N217" s="35"/>
      <c r="O217" s="35"/>
      <c r="P217" s="36"/>
      <c r="Q217" s="36"/>
      <c r="R217" s="35"/>
      <c r="S217" s="35"/>
      <c r="T217" s="35"/>
      <c r="U217" s="35"/>
      <c r="V217" s="36"/>
      <c r="W217" s="36"/>
      <c r="X217" s="35"/>
      <c r="Y217" s="35"/>
      <c r="Z217" s="36"/>
      <c r="AA217" s="37"/>
      <c r="AB217" s="38" t="str">
        <f aca="false">IF(OR(AA217="",J217=""),"",AA217*J217)</f>
        <v/>
      </c>
      <c r="AC217" s="35"/>
      <c r="AD217" s="35"/>
      <c r="AE217" s="36"/>
      <c r="AF217" s="34" t="str">
        <f aca="true">IF(OR(D217="",R217="Cancelled"),"",IF(H217="","NO QTY",IF(AND(L217="Buy",E217=""),"NO PART NO",IF(AND(W217&lt;&gt;"",NOT(OR(R217="Received",R217="NSW Purchased")),W217&lt;TODAY()),"OVERDUE",IF(AND(W217&lt;&gt;"",Q217&lt;&gt;"",W217&gt;Q217),"LATE vs REQ",IF(AND(R217="Finalized – Not Purchased",T217=""),"NEED PR",IF(AND(Y217&lt;&gt;"",Y217&lt;J217),"SHORT","")))))))</f>
        <v/>
      </c>
      <c r="AG217" s="35"/>
    </row>
    <row r="218" customFormat="false" ht="15" hidden="false" customHeight="false" outlineLevel="0" collapsed="false">
      <c r="A218" s="34" t="str">
        <f aca="false">IF(B218="","",LEFT(B218,3)&amp;"-"&amp;TEXT(COUNTIF(B$11:B218,B218),"00"))</f>
        <v/>
      </c>
      <c r="B218" s="35"/>
      <c r="C218" s="35"/>
      <c r="D218" s="35"/>
      <c r="E218" s="35"/>
      <c r="F218" s="35"/>
      <c r="G218" s="35"/>
      <c r="H218" s="35"/>
      <c r="I218" s="35"/>
      <c r="J218" s="34" t="str">
        <f aca="false">IF(H218="","",H218*IF(I218="",1,I218))</f>
        <v/>
      </c>
      <c r="K218" s="35"/>
      <c r="L218" s="35"/>
      <c r="M218" s="35"/>
      <c r="N218" s="35"/>
      <c r="O218" s="35"/>
      <c r="P218" s="36"/>
      <c r="Q218" s="36"/>
      <c r="R218" s="35"/>
      <c r="S218" s="35"/>
      <c r="T218" s="35"/>
      <c r="U218" s="35"/>
      <c r="V218" s="36"/>
      <c r="W218" s="36"/>
      <c r="X218" s="35"/>
      <c r="Y218" s="35"/>
      <c r="Z218" s="36"/>
      <c r="AA218" s="37"/>
      <c r="AB218" s="38" t="str">
        <f aca="false">IF(OR(AA218="",J218=""),"",AA218*J218)</f>
        <v/>
      </c>
      <c r="AC218" s="35"/>
      <c r="AD218" s="35"/>
      <c r="AE218" s="36"/>
      <c r="AF218" s="34" t="str">
        <f aca="true">IF(OR(D218="",R218="Cancelled"),"",IF(H218="","NO QTY",IF(AND(L218="Buy",E218=""),"NO PART NO",IF(AND(W218&lt;&gt;"",NOT(OR(R218="Received",R218="NSW Purchased")),W218&lt;TODAY()),"OVERDUE",IF(AND(W218&lt;&gt;"",Q218&lt;&gt;"",W218&gt;Q218),"LATE vs REQ",IF(AND(R218="Finalized – Not Purchased",T218=""),"NEED PR",IF(AND(Y218&lt;&gt;"",Y218&lt;J218),"SHORT","")))))))</f>
        <v/>
      </c>
      <c r="AG218" s="35"/>
    </row>
    <row r="219" customFormat="false" ht="15" hidden="false" customHeight="false" outlineLevel="0" collapsed="false">
      <c r="A219" s="34" t="str">
        <f aca="false">IF(B219="","",LEFT(B219,3)&amp;"-"&amp;TEXT(COUNTIF(B$11:B219,B219),"00"))</f>
        <v/>
      </c>
      <c r="B219" s="35"/>
      <c r="C219" s="35"/>
      <c r="D219" s="35"/>
      <c r="E219" s="35"/>
      <c r="F219" s="35"/>
      <c r="G219" s="35"/>
      <c r="H219" s="35"/>
      <c r="I219" s="35"/>
      <c r="J219" s="34" t="str">
        <f aca="false">IF(H219="","",H219*IF(I219="",1,I219))</f>
        <v/>
      </c>
      <c r="K219" s="35"/>
      <c r="L219" s="35"/>
      <c r="M219" s="35"/>
      <c r="N219" s="35"/>
      <c r="O219" s="35"/>
      <c r="P219" s="36"/>
      <c r="Q219" s="36"/>
      <c r="R219" s="35"/>
      <c r="S219" s="35"/>
      <c r="T219" s="35"/>
      <c r="U219" s="35"/>
      <c r="V219" s="36"/>
      <c r="W219" s="36"/>
      <c r="X219" s="35"/>
      <c r="Y219" s="35"/>
      <c r="Z219" s="36"/>
      <c r="AA219" s="37"/>
      <c r="AB219" s="38" t="str">
        <f aca="false">IF(OR(AA219="",J219=""),"",AA219*J219)</f>
        <v/>
      </c>
      <c r="AC219" s="35"/>
      <c r="AD219" s="35"/>
      <c r="AE219" s="36"/>
      <c r="AF219" s="34" t="str">
        <f aca="true">IF(OR(D219="",R219="Cancelled"),"",IF(H219="","NO QTY",IF(AND(L219="Buy",E219=""),"NO PART NO",IF(AND(W219&lt;&gt;"",NOT(OR(R219="Received",R219="NSW Purchased")),W219&lt;TODAY()),"OVERDUE",IF(AND(W219&lt;&gt;"",Q219&lt;&gt;"",W219&gt;Q219),"LATE vs REQ",IF(AND(R219="Finalized – Not Purchased",T219=""),"NEED PR",IF(AND(Y219&lt;&gt;"",Y219&lt;J219),"SHORT","")))))))</f>
        <v/>
      </c>
      <c r="AG219" s="35"/>
    </row>
    <row r="220" customFormat="false" ht="15" hidden="false" customHeight="false" outlineLevel="0" collapsed="false">
      <c r="A220" s="34" t="str">
        <f aca="false">IF(B220="","",LEFT(B220,3)&amp;"-"&amp;TEXT(COUNTIF(B$11:B220,B220),"00"))</f>
        <v/>
      </c>
      <c r="B220" s="35"/>
      <c r="C220" s="35"/>
      <c r="D220" s="35"/>
      <c r="E220" s="35"/>
      <c r="F220" s="35"/>
      <c r="G220" s="35"/>
      <c r="H220" s="35"/>
      <c r="I220" s="35"/>
      <c r="J220" s="34" t="str">
        <f aca="false">IF(H220="","",H220*IF(I220="",1,I220))</f>
        <v/>
      </c>
      <c r="K220" s="35"/>
      <c r="L220" s="35"/>
      <c r="M220" s="35"/>
      <c r="N220" s="35"/>
      <c r="O220" s="35"/>
      <c r="P220" s="36"/>
      <c r="Q220" s="36"/>
      <c r="R220" s="35"/>
      <c r="S220" s="35"/>
      <c r="T220" s="35"/>
      <c r="U220" s="35"/>
      <c r="V220" s="36"/>
      <c r="W220" s="36"/>
      <c r="X220" s="35"/>
      <c r="Y220" s="35"/>
      <c r="Z220" s="36"/>
      <c r="AA220" s="37"/>
      <c r="AB220" s="38" t="str">
        <f aca="false">IF(OR(AA220="",J220=""),"",AA220*J220)</f>
        <v/>
      </c>
      <c r="AC220" s="35"/>
      <c r="AD220" s="35"/>
      <c r="AE220" s="36"/>
      <c r="AF220" s="34" t="str">
        <f aca="true">IF(OR(D220="",R220="Cancelled"),"",IF(H220="","NO QTY",IF(AND(L220="Buy",E220=""),"NO PART NO",IF(AND(W220&lt;&gt;"",NOT(OR(R220="Received",R220="NSW Purchased")),W220&lt;TODAY()),"OVERDUE",IF(AND(W220&lt;&gt;"",Q220&lt;&gt;"",W220&gt;Q220),"LATE vs REQ",IF(AND(R220="Finalized – Not Purchased",T220=""),"NEED PR",IF(AND(Y220&lt;&gt;"",Y220&lt;J220),"SHORT","")))))))</f>
        <v/>
      </c>
      <c r="AG220" s="35"/>
    </row>
    <row r="221" customFormat="false" ht="15" hidden="false" customHeight="false" outlineLevel="0" collapsed="false">
      <c r="A221" s="34" t="str">
        <f aca="false">IF(B221="","",LEFT(B221,3)&amp;"-"&amp;TEXT(COUNTIF(B$11:B221,B221),"00"))</f>
        <v/>
      </c>
      <c r="B221" s="35"/>
      <c r="C221" s="35"/>
      <c r="D221" s="35"/>
      <c r="E221" s="35"/>
      <c r="F221" s="35"/>
      <c r="G221" s="35"/>
      <c r="H221" s="35"/>
      <c r="I221" s="35"/>
      <c r="J221" s="34" t="str">
        <f aca="false">IF(H221="","",H221*IF(I221="",1,I221))</f>
        <v/>
      </c>
      <c r="K221" s="35"/>
      <c r="L221" s="35"/>
      <c r="M221" s="35"/>
      <c r="N221" s="35"/>
      <c r="O221" s="35"/>
      <c r="P221" s="36"/>
      <c r="Q221" s="36"/>
      <c r="R221" s="35"/>
      <c r="S221" s="35"/>
      <c r="T221" s="35"/>
      <c r="U221" s="35"/>
      <c r="V221" s="36"/>
      <c r="W221" s="36"/>
      <c r="X221" s="35"/>
      <c r="Y221" s="35"/>
      <c r="Z221" s="36"/>
      <c r="AA221" s="37"/>
      <c r="AB221" s="38" t="str">
        <f aca="false">IF(OR(AA221="",J221=""),"",AA221*J221)</f>
        <v/>
      </c>
      <c r="AC221" s="35"/>
      <c r="AD221" s="35"/>
      <c r="AE221" s="36"/>
      <c r="AF221" s="34" t="str">
        <f aca="true">IF(OR(D221="",R221="Cancelled"),"",IF(H221="","NO QTY",IF(AND(L221="Buy",E221=""),"NO PART NO",IF(AND(W221&lt;&gt;"",NOT(OR(R221="Received",R221="NSW Purchased")),W221&lt;TODAY()),"OVERDUE",IF(AND(W221&lt;&gt;"",Q221&lt;&gt;"",W221&gt;Q221),"LATE vs REQ",IF(AND(R221="Finalized – Not Purchased",T221=""),"NEED PR",IF(AND(Y221&lt;&gt;"",Y221&lt;J221),"SHORT","")))))))</f>
        <v/>
      </c>
      <c r="AG221" s="35"/>
    </row>
    <row r="222" customFormat="false" ht="15" hidden="false" customHeight="false" outlineLevel="0" collapsed="false">
      <c r="A222" s="34" t="str">
        <f aca="false">IF(B222="","",LEFT(B222,3)&amp;"-"&amp;TEXT(COUNTIF(B$11:B222,B222),"00"))</f>
        <v/>
      </c>
      <c r="B222" s="35"/>
      <c r="C222" s="35"/>
      <c r="D222" s="35"/>
      <c r="E222" s="35"/>
      <c r="F222" s="35"/>
      <c r="G222" s="35"/>
      <c r="H222" s="35"/>
      <c r="I222" s="35"/>
      <c r="J222" s="34" t="str">
        <f aca="false">IF(H222="","",H222*IF(I222="",1,I222))</f>
        <v/>
      </c>
      <c r="K222" s="35"/>
      <c r="L222" s="35"/>
      <c r="M222" s="35"/>
      <c r="N222" s="35"/>
      <c r="O222" s="35"/>
      <c r="P222" s="36"/>
      <c r="Q222" s="36"/>
      <c r="R222" s="35"/>
      <c r="S222" s="35"/>
      <c r="T222" s="35"/>
      <c r="U222" s="35"/>
      <c r="V222" s="36"/>
      <c r="W222" s="36"/>
      <c r="X222" s="35"/>
      <c r="Y222" s="35"/>
      <c r="Z222" s="36"/>
      <c r="AA222" s="37"/>
      <c r="AB222" s="38" t="str">
        <f aca="false">IF(OR(AA222="",J222=""),"",AA222*J222)</f>
        <v/>
      </c>
      <c r="AC222" s="35"/>
      <c r="AD222" s="35"/>
      <c r="AE222" s="36"/>
      <c r="AF222" s="34" t="str">
        <f aca="true">IF(OR(D222="",R222="Cancelled"),"",IF(H222="","NO QTY",IF(AND(L222="Buy",E222=""),"NO PART NO",IF(AND(W222&lt;&gt;"",NOT(OR(R222="Received",R222="NSW Purchased")),W222&lt;TODAY()),"OVERDUE",IF(AND(W222&lt;&gt;"",Q222&lt;&gt;"",W222&gt;Q222),"LATE vs REQ",IF(AND(R222="Finalized – Not Purchased",T222=""),"NEED PR",IF(AND(Y222&lt;&gt;"",Y222&lt;J222),"SHORT","")))))))</f>
        <v/>
      </c>
      <c r="AG222" s="35"/>
    </row>
    <row r="223" customFormat="false" ht="15" hidden="false" customHeight="false" outlineLevel="0" collapsed="false">
      <c r="A223" s="34" t="str">
        <f aca="false">IF(B223="","",LEFT(B223,3)&amp;"-"&amp;TEXT(COUNTIF(B$11:B223,B223),"00"))</f>
        <v/>
      </c>
      <c r="B223" s="35"/>
      <c r="C223" s="35"/>
      <c r="D223" s="35"/>
      <c r="E223" s="35"/>
      <c r="F223" s="35"/>
      <c r="G223" s="35"/>
      <c r="H223" s="35"/>
      <c r="I223" s="35"/>
      <c r="J223" s="34" t="str">
        <f aca="false">IF(H223="","",H223*IF(I223="",1,I223))</f>
        <v/>
      </c>
      <c r="K223" s="35"/>
      <c r="L223" s="35"/>
      <c r="M223" s="35"/>
      <c r="N223" s="35"/>
      <c r="O223" s="35"/>
      <c r="P223" s="36"/>
      <c r="Q223" s="36"/>
      <c r="R223" s="35"/>
      <c r="S223" s="35"/>
      <c r="T223" s="35"/>
      <c r="U223" s="35"/>
      <c r="V223" s="36"/>
      <c r="W223" s="36"/>
      <c r="X223" s="35"/>
      <c r="Y223" s="35"/>
      <c r="Z223" s="36"/>
      <c r="AA223" s="37"/>
      <c r="AB223" s="38" t="str">
        <f aca="false">IF(OR(AA223="",J223=""),"",AA223*J223)</f>
        <v/>
      </c>
      <c r="AC223" s="35"/>
      <c r="AD223" s="35"/>
      <c r="AE223" s="36"/>
      <c r="AF223" s="34" t="str">
        <f aca="true">IF(OR(D223="",R223="Cancelled"),"",IF(H223="","NO QTY",IF(AND(L223="Buy",E223=""),"NO PART NO",IF(AND(W223&lt;&gt;"",NOT(OR(R223="Received",R223="NSW Purchased")),W223&lt;TODAY()),"OVERDUE",IF(AND(W223&lt;&gt;"",Q223&lt;&gt;"",W223&gt;Q223),"LATE vs REQ",IF(AND(R223="Finalized – Not Purchased",T223=""),"NEED PR",IF(AND(Y223&lt;&gt;"",Y223&lt;J223),"SHORT","")))))))</f>
        <v/>
      </c>
      <c r="AG223" s="35"/>
    </row>
    <row r="224" customFormat="false" ht="15" hidden="false" customHeight="false" outlineLevel="0" collapsed="false">
      <c r="A224" s="34" t="str">
        <f aca="false">IF(B224="","",LEFT(B224,3)&amp;"-"&amp;TEXT(COUNTIF(B$11:B224,B224),"00"))</f>
        <v/>
      </c>
      <c r="B224" s="35"/>
      <c r="C224" s="35"/>
      <c r="D224" s="35"/>
      <c r="E224" s="35"/>
      <c r="F224" s="35"/>
      <c r="G224" s="35"/>
      <c r="H224" s="35"/>
      <c r="I224" s="35"/>
      <c r="J224" s="34" t="str">
        <f aca="false">IF(H224="","",H224*IF(I224="",1,I224))</f>
        <v/>
      </c>
      <c r="K224" s="35"/>
      <c r="L224" s="35"/>
      <c r="M224" s="35"/>
      <c r="N224" s="35"/>
      <c r="O224" s="35"/>
      <c r="P224" s="36"/>
      <c r="Q224" s="36"/>
      <c r="R224" s="35"/>
      <c r="S224" s="35"/>
      <c r="T224" s="35"/>
      <c r="U224" s="35"/>
      <c r="V224" s="36"/>
      <c r="W224" s="36"/>
      <c r="X224" s="35"/>
      <c r="Y224" s="35"/>
      <c r="Z224" s="36"/>
      <c r="AA224" s="37"/>
      <c r="AB224" s="38" t="str">
        <f aca="false">IF(OR(AA224="",J224=""),"",AA224*J224)</f>
        <v/>
      </c>
      <c r="AC224" s="35"/>
      <c r="AD224" s="35"/>
      <c r="AE224" s="36"/>
      <c r="AF224" s="34" t="str">
        <f aca="true">IF(OR(D224="",R224="Cancelled"),"",IF(H224="","NO QTY",IF(AND(L224="Buy",E224=""),"NO PART NO",IF(AND(W224&lt;&gt;"",NOT(OR(R224="Received",R224="NSW Purchased")),W224&lt;TODAY()),"OVERDUE",IF(AND(W224&lt;&gt;"",Q224&lt;&gt;"",W224&gt;Q224),"LATE vs REQ",IF(AND(R224="Finalized – Not Purchased",T224=""),"NEED PR",IF(AND(Y224&lt;&gt;"",Y224&lt;J224),"SHORT","")))))))</f>
        <v/>
      </c>
      <c r="AG224" s="35"/>
    </row>
    <row r="225" customFormat="false" ht="15" hidden="false" customHeight="false" outlineLevel="0" collapsed="false">
      <c r="A225" s="34" t="str">
        <f aca="false">IF(B225="","",LEFT(B225,3)&amp;"-"&amp;TEXT(COUNTIF(B$11:B225,B225),"00"))</f>
        <v/>
      </c>
      <c r="B225" s="35"/>
      <c r="C225" s="35"/>
      <c r="D225" s="35"/>
      <c r="E225" s="35"/>
      <c r="F225" s="35"/>
      <c r="G225" s="35"/>
      <c r="H225" s="35"/>
      <c r="I225" s="35"/>
      <c r="J225" s="34" t="str">
        <f aca="false">IF(H225="","",H225*IF(I225="",1,I225))</f>
        <v/>
      </c>
      <c r="K225" s="35"/>
      <c r="L225" s="35"/>
      <c r="M225" s="35"/>
      <c r="N225" s="35"/>
      <c r="O225" s="35"/>
      <c r="P225" s="36"/>
      <c r="Q225" s="36"/>
      <c r="R225" s="35"/>
      <c r="S225" s="35"/>
      <c r="T225" s="35"/>
      <c r="U225" s="35"/>
      <c r="V225" s="36"/>
      <c r="W225" s="36"/>
      <c r="X225" s="35"/>
      <c r="Y225" s="35"/>
      <c r="Z225" s="36"/>
      <c r="AA225" s="37"/>
      <c r="AB225" s="38" t="str">
        <f aca="false">IF(OR(AA225="",J225=""),"",AA225*J225)</f>
        <v/>
      </c>
      <c r="AC225" s="35"/>
      <c r="AD225" s="35"/>
      <c r="AE225" s="36"/>
      <c r="AF225" s="34" t="str">
        <f aca="true">IF(OR(D225="",R225="Cancelled"),"",IF(H225="","NO QTY",IF(AND(L225="Buy",E225=""),"NO PART NO",IF(AND(W225&lt;&gt;"",NOT(OR(R225="Received",R225="NSW Purchased")),W225&lt;TODAY()),"OVERDUE",IF(AND(W225&lt;&gt;"",Q225&lt;&gt;"",W225&gt;Q225),"LATE vs REQ",IF(AND(R225="Finalized – Not Purchased",T225=""),"NEED PR",IF(AND(Y225&lt;&gt;"",Y225&lt;J225),"SHORT","")))))))</f>
        <v/>
      </c>
      <c r="AG225" s="35"/>
    </row>
    <row r="226" customFormat="false" ht="15" hidden="false" customHeight="false" outlineLevel="0" collapsed="false">
      <c r="A226" s="34" t="str">
        <f aca="false">IF(B226="","",LEFT(B226,3)&amp;"-"&amp;TEXT(COUNTIF(B$11:B226,B226),"00"))</f>
        <v/>
      </c>
      <c r="B226" s="35"/>
      <c r="C226" s="35"/>
      <c r="D226" s="35"/>
      <c r="E226" s="35"/>
      <c r="F226" s="35"/>
      <c r="G226" s="35"/>
      <c r="H226" s="35"/>
      <c r="I226" s="35"/>
      <c r="J226" s="34" t="str">
        <f aca="false">IF(H226="","",H226*IF(I226="",1,I226))</f>
        <v/>
      </c>
      <c r="K226" s="35"/>
      <c r="L226" s="35"/>
      <c r="M226" s="35"/>
      <c r="N226" s="35"/>
      <c r="O226" s="35"/>
      <c r="P226" s="36"/>
      <c r="Q226" s="36"/>
      <c r="R226" s="35"/>
      <c r="S226" s="35"/>
      <c r="T226" s="35"/>
      <c r="U226" s="35"/>
      <c r="V226" s="36"/>
      <c r="W226" s="36"/>
      <c r="X226" s="35"/>
      <c r="Y226" s="35"/>
      <c r="Z226" s="36"/>
      <c r="AA226" s="37"/>
      <c r="AB226" s="38" t="str">
        <f aca="false">IF(OR(AA226="",J226=""),"",AA226*J226)</f>
        <v/>
      </c>
      <c r="AC226" s="35"/>
      <c r="AD226" s="35"/>
      <c r="AE226" s="36"/>
      <c r="AF226" s="34" t="str">
        <f aca="true">IF(OR(D226="",R226="Cancelled"),"",IF(H226="","NO QTY",IF(AND(L226="Buy",E226=""),"NO PART NO",IF(AND(W226&lt;&gt;"",NOT(OR(R226="Received",R226="NSW Purchased")),W226&lt;TODAY()),"OVERDUE",IF(AND(W226&lt;&gt;"",Q226&lt;&gt;"",W226&gt;Q226),"LATE vs REQ",IF(AND(R226="Finalized – Not Purchased",T226=""),"NEED PR",IF(AND(Y226&lt;&gt;"",Y226&lt;J226),"SHORT","")))))))</f>
        <v/>
      </c>
      <c r="AG226" s="35"/>
    </row>
    <row r="227" customFormat="false" ht="15" hidden="false" customHeight="false" outlineLevel="0" collapsed="false">
      <c r="A227" s="34" t="str">
        <f aca="false">IF(B227="","",LEFT(B227,3)&amp;"-"&amp;TEXT(COUNTIF(B$11:B227,B227),"00"))</f>
        <v/>
      </c>
      <c r="B227" s="35"/>
      <c r="C227" s="35"/>
      <c r="D227" s="35"/>
      <c r="E227" s="35"/>
      <c r="F227" s="35"/>
      <c r="G227" s="35"/>
      <c r="H227" s="35"/>
      <c r="I227" s="35"/>
      <c r="J227" s="34" t="str">
        <f aca="false">IF(H227="","",H227*IF(I227="",1,I227))</f>
        <v/>
      </c>
      <c r="K227" s="35"/>
      <c r="L227" s="35"/>
      <c r="M227" s="35"/>
      <c r="N227" s="35"/>
      <c r="O227" s="35"/>
      <c r="P227" s="36"/>
      <c r="Q227" s="36"/>
      <c r="R227" s="35"/>
      <c r="S227" s="35"/>
      <c r="T227" s="35"/>
      <c r="U227" s="35"/>
      <c r="V227" s="36"/>
      <c r="W227" s="36"/>
      <c r="X227" s="35"/>
      <c r="Y227" s="35"/>
      <c r="Z227" s="36"/>
      <c r="AA227" s="37"/>
      <c r="AB227" s="38" t="str">
        <f aca="false">IF(OR(AA227="",J227=""),"",AA227*J227)</f>
        <v/>
      </c>
      <c r="AC227" s="35"/>
      <c r="AD227" s="35"/>
      <c r="AE227" s="36"/>
      <c r="AF227" s="34" t="str">
        <f aca="true">IF(OR(D227="",R227="Cancelled"),"",IF(H227="","NO QTY",IF(AND(L227="Buy",E227=""),"NO PART NO",IF(AND(W227&lt;&gt;"",NOT(OR(R227="Received",R227="NSW Purchased")),W227&lt;TODAY()),"OVERDUE",IF(AND(W227&lt;&gt;"",Q227&lt;&gt;"",W227&gt;Q227),"LATE vs REQ",IF(AND(R227="Finalized – Not Purchased",T227=""),"NEED PR",IF(AND(Y227&lt;&gt;"",Y227&lt;J227),"SHORT","")))))))</f>
        <v/>
      </c>
      <c r="AG227" s="35"/>
    </row>
    <row r="228" customFormat="false" ht="15" hidden="false" customHeight="false" outlineLevel="0" collapsed="false">
      <c r="A228" s="34" t="str">
        <f aca="false">IF(B228="","",LEFT(B228,3)&amp;"-"&amp;TEXT(COUNTIF(B$11:B228,B228),"00"))</f>
        <v/>
      </c>
      <c r="B228" s="35"/>
      <c r="C228" s="35"/>
      <c r="D228" s="35"/>
      <c r="E228" s="35"/>
      <c r="F228" s="35"/>
      <c r="G228" s="35"/>
      <c r="H228" s="35"/>
      <c r="I228" s="35"/>
      <c r="J228" s="34" t="str">
        <f aca="false">IF(H228="","",H228*IF(I228="",1,I228))</f>
        <v/>
      </c>
      <c r="K228" s="35"/>
      <c r="L228" s="35"/>
      <c r="M228" s="35"/>
      <c r="N228" s="35"/>
      <c r="O228" s="35"/>
      <c r="P228" s="36"/>
      <c r="Q228" s="36"/>
      <c r="R228" s="35"/>
      <c r="S228" s="35"/>
      <c r="T228" s="35"/>
      <c r="U228" s="35"/>
      <c r="V228" s="36"/>
      <c r="W228" s="36"/>
      <c r="X228" s="35"/>
      <c r="Y228" s="35"/>
      <c r="Z228" s="36"/>
      <c r="AA228" s="37"/>
      <c r="AB228" s="38" t="str">
        <f aca="false">IF(OR(AA228="",J228=""),"",AA228*J228)</f>
        <v/>
      </c>
      <c r="AC228" s="35"/>
      <c r="AD228" s="35"/>
      <c r="AE228" s="36"/>
      <c r="AF228" s="34" t="str">
        <f aca="true">IF(OR(D228="",R228="Cancelled"),"",IF(H228="","NO QTY",IF(AND(L228="Buy",E228=""),"NO PART NO",IF(AND(W228&lt;&gt;"",NOT(OR(R228="Received",R228="NSW Purchased")),W228&lt;TODAY()),"OVERDUE",IF(AND(W228&lt;&gt;"",Q228&lt;&gt;"",W228&gt;Q228),"LATE vs REQ",IF(AND(R228="Finalized – Not Purchased",T228=""),"NEED PR",IF(AND(Y228&lt;&gt;"",Y228&lt;J228),"SHORT","")))))))</f>
        <v/>
      </c>
      <c r="AG228" s="35"/>
    </row>
    <row r="229" customFormat="false" ht="15" hidden="false" customHeight="false" outlineLevel="0" collapsed="false">
      <c r="A229" s="34" t="str">
        <f aca="false">IF(B229="","",LEFT(B229,3)&amp;"-"&amp;TEXT(COUNTIF(B$11:B229,B229),"00"))</f>
        <v/>
      </c>
      <c r="B229" s="35"/>
      <c r="C229" s="35"/>
      <c r="D229" s="35"/>
      <c r="E229" s="35"/>
      <c r="F229" s="35"/>
      <c r="G229" s="35"/>
      <c r="H229" s="35"/>
      <c r="I229" s="35"/>
      <c r="J229" s="34" t="str">
        <f aca="false">IF(H229="","",H229*IF(I229="",1,I229))</f>
        <v/>
      </c>
      <c r="K229" s="35"/>
      <c r="L229" s="35"/>
      <c r="M229" s="35"/>
      <c r="N229" s="35"/>
      <c r="O229" s="35"/>
      <c r="P229" s="36"/>
      <c r="Q229" s="36"/>
      <c r="R229" s="35"/>
      <c r="S229" s="35"/>
      <c r="T229" s="35"/>
      <c r="U229" s="35"/>
      <c r="V229" s="36"/>
      <c r="W229" s="36"/>
      <c r="X229" s="35"/>
      <c r="Y229" s="35"/>
      <c r="Z229" s="36"/>
      <c r="AA229" s="37"/>
      <c r="AB229" s="38" t="str">
        <f aca="false">IF(OR(AA229="",J229=""),"",AA229*J229)</f>
        <v/>
      </c>
      <c r="AC229" s="35"/>
      <c r="AD229" s="35"/>
      <c r="AE229" s="36"/>
      <c r="AF229" s="34" t="str">
        <f aca="true">IF(OR(D229="",R229="Cancelled"),"",IF(H229="","NO QTY",IF(AND(L229="Buy",E229=""),"NO PART NO",IF(AND(W229&lt;&gt;"",NOT(OR(R229="Received",R229="NSW Purchased")),W229&lt;TODAY()),"OVERDUE",IF(AND(W229&lt;&gt;"",Q229&lt;&gt;"",W229&gt;Q229),"LATE vs REQ",IF(AND(R229="Finalized – Not Purchased",T229=""),"NEED PR",IF(AND(Y229&lt;&gt;"",Y229&lt;J229),"SHORT","")))))))</f>
        <v/>
      </c>
      <c r="AG229" s="35"/>
    </row>
    <row r="230" customFormat="false" ht="15" hidden="false" customHeight="false" outlineLevel="0" collapsed="false">
      <c r="A230" s="34" t="str">
        <f aca="false">IF(B230="","",LEFT(B230,3)&amp;"-"&amp;TEXT(COUNTIF(B$11:B230,B230),"00"))</f>
        <v/>
      </c>
      <c r="B230" s="35"/>
      <c r="C230" s="35"/>
      <c r="D230" s="35"/>
      <c r="E230" s="35"/>
      <c r="F230" s="35"/>
      <c r="G230" s="35"/>
      <c r="H230" s="35"/>
      <c r="I230" s="35"/>
      <c r="J230" s="34" t="str">
        <f aca="false">IF(H230="","",H230*IF(I230="",1,I230))</f>
        <v/>
      </c>
      <c r="K230" s="35"/>
      <c r="L230" s="35"/>
      <c r="M230" s="35"/>
      <c r="N230" s="35"/>
      <c r="O230" s="35"/>
      <c r="P230" s="36"/>
      <c r="Q230" s="36"/>
      <c r="R230" s="35"/>
      <c r="S230" s="35"/>
      <c r="T230" s="35"/>
      <c r="U230" s="35"/>
      <c r="V230" s="36"/>
      <c r="W230" s="36"/>
      <c r="X230" s="35"/>
      <c r="Y230" s="35"/>
      <c r="Z230" s="36"/>
      <c r="AA230" s="37"/>
      <c r="AB230" s="38" t="str">
        <f aca="false">IF(OR(AA230="",J230=""),"",AA230*J230)</f>
        <v/>
      </c>
      <c r="AC230" s="35"/>
      <c r="AD230" s="35"/>
      <c r="AE230" s="36"/>
      <c r="AF230" s="34" t="str">
        <f aca="true">IF(OR(D230="",R230="Cancelled"),"",IF(H230="","NO QTY",IF(AND(L230="Buy",E230=""),"NO PART NO",IF(AND(W230&lt;&gt;"",NOT(OR(R230="Received",R230="NSW Purchased")),W230&lt;TODAY()),"OVERDUE",IF(AND(W230&lt;&gt;"",Q230&lt;&gt;"",W230&gt;Q230),"LATE vs REQ",IF(AND(R230="Finalized – Not Purchased",T230=""),"NEED PR",IF(AND(Y230&lt;&gt;"",Y230&lt;J230),"SHORT","")))))))</f>
        <v/>
      </c>
      <c r="AG230" s="35"/>
    </row>
    <row r="231" customFormat="false" ht="15" hidden="false" customHeight="false" outlineLevel="0" collapsed="false">
      <c r="A231" s="34" t="str">
        <f aca="false">IF(B231="","",LEFT(B231,3)&amp;"-"&amp;TEXT(COUNTIF(B$11:B231,B231),"00"))</f>
        <v/>
      </c>
      <c r="B231" s="35"/>
      <c r="C231" s="35"/>
      <c r="D231" s="35"/>
      <c r="E231" s="35"/>
      <c r="F231" s="35"/>
      <c r="G231" s="35"/>
      <c r="H231" s="35"/>
      <c r="I231" s="35"/>
      <c r="J231" s="34" t="str">
        <f aca="false">IF(H231="","",H231*IF(I231="",1,I231))</f>
        <v/>
      </c>
      <c r="K231" s="35"/>
      <c r="L231" s="35"/>
      <c r="M231" s="35"/>
      <c r="N231" s="35"/>
      <c r="O231" s="35"/>
      <c r="P231" s="36"/>
      <c r="Q231" s="36"/>
      <c r="R231" s="35"/>
      <c r="S231" s="35"/>
      <c r="T231" s="35"/>
      <c r="U231" s="35"/>
      <c r="V231" s="36"/>
      <c r="W231" s="36"/>
      <c r="X231" s="35"/>
      <c r="Y231" s="35"/>
      <c r="Z231" s="36"/>
      <c r="AA231" s="37"/>
      <c r="AB231" s="38" t="str">
        <f aca="false">IF(OR(AA231="",J231=""),"",AA231*J231)</f>
        <v/>
      </c>
      <c r="AC231" s="35"/>
      <c r="AD231" s="35"/>
      <c r="AE231" s="36"/>
      <c r="AF231" s="34" t="str">
        <f aca="true">IF(OR(D231="",R231="Cancelled"),"",IF(H231="","NO QTY",IF(AND(L231="Buy",E231=""),"NO PART NO",IF(AND(W231&lt;&gt;"",NOT(OR(R231="Received",R231="NSW Purchased")),W231&lt;TODAY()),"OVERDUE",IF(AND(W231&lt;&gt;"",Q231&lt;&gt;"",W231&gt;Q231),"LATE vs REQ",IF(AND(R231="Finalized – Not Purchased",T231=""),"NEED PR",IF(AND(Y231&lt;&gt;"",Y231&lt;J231),"SHORT","")))))))</f>
        <v/>
      </c>
      <c r="AG231" s="35"/>
    </row>
    <row r="232" customFormat="false" ht="15" hidden="false" customHeight="false" outlineLevel="0" collapsed="false">
      <c r="A232" s="34" t="str">
        <f aca="false">IF(B232="","",LEFT(B232,3)&amp;"-"&amp;TEXT(COUNTIF(B$11:B232,B232),"00"))</f>
        <v/>
      </c>
      <c r="B232" s="35"/>
      <c r="C232" s="35"/>
      <c r="D232" s="35"/>
      <c r="E232" s="35"/>
      <c r="F232" s="35"/>
      <c r="G232" s="35"/>
      <c r="H232" s="35"/>
      <c r="I232" s="35"/>
      <c r="J232" s="34" t="str">
        <f aca="false">IF(H232="","",H232*IF(I232="",1,I232))</f>
        <v/>
      </c>
      <c r="K232" s="35"/>
      <c r="L232" s="35"/>
      <c r="M232" s="35"/>
      <c r="N232" s="35"/>
      <c r="O232" s="35"/>
      <c r="P232" s="36"/>
      <c r="Q232" s="36"/>
      <c r="R232" s="35"/>
      <c r="S232" s="35"/>
      <c r="T232" s="35"/>
      <c r="U232" s="35"/>
      <c r="V232" s="36"/>
      <c r="W232" s="36"/>
      <c r="X232" s="35"/>
      <c r="Y232" s="35"/>
      <c r="Z232" s="36"/>
      <c r="AA232" s="37"/>
      <c r="AB232" s="38" t="str">
        <f aca="false">IF(OR(AA232="",J232=""),"",AA232*J232)</f>
        <v/>
      </c>
      <c r="AC232" s="35"/>
      <c r="AD232" s="35"/>
      <c r="AE232" s="36"/>
      <c r="AF232" s="34" t="str">
        <f aca="true">IF(OR(D232="",R232="Cancelled"),"",IF(H232="","NO QTY",IF(AND(L232="Buy",E232=""),"NO PART NO",IF(AND(W232&lt;&gt;"",NOT(OR(R232="Received",R232="NSW Purchased")),W232&lt;TODAY()),"OVERDUE",IF(AND(W232&lt;&gt;"",Q232&lt;&gt;"",W232&gt;Q232),"LATE vs REQ",IF(AND(R232="Finalized – Not Purchased",T232=""),"NEED PR",IF(AND(Y232&lt;&gt;"",Y232&lt;J232),"SHORT","")))))))</f>
        <v/>
      </c>
      <c r="AG232" s="35"/>
    </row>
    <row r="233" customFormat="false" ht="15" hidden="false" customHeight="false" outlineLevel="0" collapsed="false">
      <c r="A233" s="34" t="str">
        <f aca="false">IF(B233="","",LEFT(B233,3)&amp;"-"&amp;TEXT(COUNTIF(B$11:B233,B233),"00"))</f>
        <v/>
      </c>
      <c r="B233" s="35"/>
      <c r="C233" s="35"/>
      <c r="D233" s="35"/>
      <c r="E233" s="35"/>
      <c r="F233" s="35"/>
      <c r="G233" s="35"/>
      <c r="H233" s="35"/>
      <c r="I233" s="35"/>
      <c r="J233" s="34" t="str">
        <f aca="false">IF(H233="","",H233*IF(I233="",1,I233))</f>
        <v/>
      </c>
      <c r="K233" s="35"/>
      <c r="L233" s="35"/>
      <c r="M233" s="35"/>
      <c r="N233" s="35"/>
      <c r="O233" s="35"/>
      <c r="P233" s="36"/>
      <c r="Q233" s="36"/>
      <c r="R233" s="35"/>
      <c r="S233" s="35"/>
      <c r="T233" s="35"/>
      <c r="U233" s="35"/>
      <c r="V233" s="36"/>
      <c r="W233" s="36"/>
      <c r="X233" s="35"/>
      <c r="Y233" s="35"/>
      <c r="Z233" s="36"/>
      <c r="AA233" s="37"/>
      <c r="AB233" s="38" t="str">
        <f aca="false">IF(OR(AA233="",J233=""),"",AA233*J233)</f>
        <v/>
      </c>
      <c r="AC233" s="35"/>
      <c r="AD233" s="35"/>
      <c r="AE233" s="36"/>
      <c r="AF233" s="34" t="str">
        <f aca="true">IF(OR(D233="",R233="Cancelled"),"",IF(H233="","NO QTY",IF(AND(L233="Buy",E233=""),"NO PART NO",IF(AND(W233&lt;&gt;"",NOT(OR(R233="Received",R233="NSW Purchased")),W233&lt;TODAY()),"OVERDUE",IF(AND(W233&lt;&gt;"",Q233&lt;&gt;"",W233&gt;Q233),"LATE vs REQ",IF(AND(R233="Finalized – Not Purchased",T233=""),"NEED PR",IF(AND(Y233&lt;&gt;"",Y233&lt;J233),"SHORT","")))))))</f>
        <v/>
      </c>
      <c r="AG233" s="35"/>
    </row>
    <row r="234" customFormat="false" ht="15" hidden="false" customHeight="false" outlineLevel="0" collapsed="false">
      <c r="A234" s="34" t="str">
        <f aca="false">IF(B234="","",LEFT(B234,3)&amp;"-"&amp;TEXT(COUNTIF(B$11:B234,B234),"00"))</f>
        <v/>
      </c>
      <c r="B234" s="35"/>
      <c r="C234" s="35"/>
      <c r="D234" s="35"/>
      <c r="E234" s="35"/>
      <c r="F234" s="35"/>
      <c r="G234" s="35"/>
      <c r="H234" s="35"/>
      <c r="I234" s="35"/>
      <c r="J234" s="34" t="str">
        <f aca="false">IF(H234="","",H234*IF(I234="",1,I234))</f>
        <v/>
      </c>
      <c r="K234" s="35"/>
      <c r="L234" s="35"/>
      <c r="M234" s="35"/>
      <c r="N234" s="35"/>
      <c r="O234" s="35"/>
      <c r="P234" s="36"/>
      <c r="Q234" s="36"/>
      <c r="R234" s="35"/>
      <c r="S234" s="35"/>
      <c r="T234" s="35"/>
      <c r="U234" s="35"/>
      <c r="V234" s="36"/>
      <c r="W234" s="36"/>
      <c r="X234" s="35"/>
      <c r="Y234" s="35"/>
      <c r="Z234" s="36"/>
      <c r="AA234" s="37"/>
      <c r="AB234" s="38" t="str">
        <f aca="false">IF(OR(AA234="",J234=""),"",AA234*J234)</f>
        <v/>
      </c>
      <c r="AC234" s="35"/>
      <c r="AD234" s="35"/>
      <c r="AE234" s="36"/>
      <c r="AF234" s="34" t="str">
        <f aca="true">IF(OR(D234="",R234="Cancelled"),"",IF(H234="","NO QTY",IF(AND(L234="Buy",E234=""),"NO PART NO",IF(AND(W234&lt;&gt;"",NOT(OR(R234="Received",R234="NSW Purchased")),W234&lt;TODAY()),"OVERDUE",IF(AND(W234&lt;&gt;"",Q234&lt;&gt;"",W234&gt;Q234),"LATE vs REQ",IF(AND(R234="Finalized – Not Purchased",T234=""),"NEED PR",IF(AND(Y234&lt;&gt;"",Y234&lt;J234),"SHORT","")))))))</f>
        <v/>
      </c>
      <c r="AG234" s="35"/>
    </row>
    <row r="235" customFormat="false" ht="15" hidden="false" customHeight="false" outlineLevel="0" collapsed="false">
      <c r="A235" s="34" t="str">
        <f aca="false">IF(B235="","",LEFT(B235,3)&amp;"-"&amp;TEXT(COUNTIF(B$11:B235,B235),"00"))</f>
        <v/>
      </c>
      <c r="B235" s="35"/>
      <c r="C235" s="35"/>
      <c r="D235" s="35"/>
      <c r="E235" s="35"/>
      <c r="F235" s="35"/>
      <c r="G235" s="35"/>
      <c r="H235" s="35"/>
      <c r="I235" s="35"/>
      <c r="J235" s="34" t="str">
        <f aca="false">IF(H235="","",H235*IF(I235="",1,I235))</f>
        <v/>
      </c>
      <c r="K235" s="35"/>
      <c r="L235" s="35"/>
      <c r="M235" s="35"/>
      <c r="N235" s="35"/>
      <c r="O235" s="35"/>
      <c r="P235" s="36"/>
      <c r="Q235" s="36"/>
      <c r="R235" s="35"/>
      <c r="S235" s="35"/>
      <c r="T235" s="35"/>
      <c r="U235" s="35"/>
      <c r="V235" s="36"/>
      <c r="W235" s="36"/>
      <c r="X235" s="35"/>
      <c r="Y235" s="35"/>
      <c r="Z235" s="36"/>
      <c r="AA235" s="37"/>
      <c r="AB235" s="38" t="str">
        <f aca="false">IF(OR(AA235="",J235=""),"",AA235*J235)</f>
        <v/>
      </c>
      <c r="AC235" s="35"/>
      <c r="AD235" s="35"/>
      <c r="AE235" s="36"/>
      <c r="AF235" s="34" t="str">
        <f aca="true">IF(OR(D235="",R235="Cancelled"),"",IF(H235="","NO QTY",IF(AND(L235="Buy",E235=""),"NO PART NO",IF(AND(W235&lt;&gt;"",NOT(OR(R235="Received",R235="NSW Purchased")),W235&lt;TODAY()),"OVERDUE",IF(AND(W235&lt;&gt;"",Q235&lt;&gt;"",W235&gt;Q235),"LATE vs REQ",IF(AND(R235="Finalized – Not Purchased",T235=""),"NEED PR",IF(AND(Y235&lt;&gt;"",Y235&lt;J235),"SHORT","")))))))</f>
        <v/>
      </c>
      <c r="AG235" s="35"/>
    </row>
    <row r="236" customFormat="false" ht="15" hidden="false" customHeight="false" outlineLevel="0" collapsed="false">
      <c r="A236" s="34" t="str">
        <f aca="false">IF(B236="","",LEFT(B236,3)&amp;"-"&amp;TEXT(COUNTIF(B$11:B236,B236),"00"))</f>
        <v/>
      </c>
      <c r="B236" s="35"/>
      <c r="C236" s="35"/>
      <c r="D236" s="35"/>
      <c r="E236" s="35"/>
      <c r="F236" s="35"/>
      <c r="G236" s="35"/>
      <c r="H236" s="35"/>
      <c r="I236" s="35"/>
      <c r="J236" s="34" t="str">
        <f aca="false">IF(H236="","",H236*IF(I236="",1,I236))</f>
        <v/>
      </c>
      <c r="K236" s="35"/>
      <c r="L236" s="35"/>
      <c r="M236" s="35"/>
      <c r="N236" s="35"/>
      <c r="O236" s="35"/>
      <c r="P236" s="36"/>
      <c r="Q236" s="36"/>
      <c r="R236" s="35"/>
      <c r="S236" s="35"/>
      <c r="T236" s="35"/>
      <c r="U236" s="35"/>
      <c r="V236" s="36"/>
      <c r="W236" s="36"/>
      <c r="X236" s="35"/>
      <c r="Y236" s="35"/>
      <c r="Z236" s="36"/>
      <c r="AA236" s="37"/>
      <c r="AB236" s="38" t="str">
        <f aca="false">IF(OR(AA236="",J236=""),"",AA236*J236)</f>
        <v/>
      </c>
      <c r="AC236" s="35"/>
      <c r="AD236" s="35"/>
      <c r="AE236" s="36"/>
      <c r="AF236" s="34" t="str">
        <f aca="true">IF(OR(D236="",R236="Cancelled"),"",IF(H236="","NO QTY",IF(AND(L236="Buy",E236=""),"NO PART NO",IF(AND(W236&lt;&gt;"",NOT(OR(R236="Received",R236="NSW Purchased")),W236&lt;TODAY()),"OVERDUE",IF(AND(W236&lt;&gt;"",Q236&lt;&gt;"",W236&gt;Q236),"LATE vs REQ",IF(AND(R236="Finalized – Not Purchased",T236=""),"NEED PR",IF(AND(Y236&lt;&gt;"",Y236&lt;J236),"SHORT","")))))))</f>
        <v/>
      </c>
      <c r="AG236" s="35"/>
    </row>
    <row r="237" customFormat="false" ht="15" hidden="false" customHeight="false" outlineLevel="0" collapsed="false">
      <c r="A237" s="34" t="str">
        <f aca="false">IF(B237="","",LEFT(B237,3)&amp;"-"&amp;TEXT(COUNTIF(B$11:B237,B237),"00"))</f>
        <v/>
      </c>
      <c r="B237" s="35"/>
      <c r="C237" s="35"/>
      <c r="D237" s="35"/>
      <c r="E237" s="35"/>
      <c r="F237" s="35"/>
      <c r="G237" s="35"/>
      <c r="H237" s="35"/>
      <c r="I237" s="35"/>
      <c r="J237" s="34" t="str">
        <f aca="false">IF(H237="","",H237*IF(I237="",1,I237))</f>
        <v/>
      </c>
      <c r="K237" s="35"/>
      <c r="L237" s="35"/>
      <c r="M237" s="35"/>
      <c r="N237" s="35"/>
      <c r="O237" s="35"/>
      <c r="P237" s="36"/>
      <c r="Q237" s="36"/>
      <c r="R237" s="35"/>
      <c r="S237" s="35"/>
      <c r="T237" s="35"/>
      <c r="U237" s="35"/>
      <c r="V237" s="36"/>
      <c r="W237" s="36"/>
      <c r="X237" s="35"/>
      <c r="Y237" s="35"/>
      <c r="Z237" s="36"/>
      <c r="AA237" s="37"/>
      <c r="AB237" s="38" t="str">
        <f aca="false">IF(OR(AA237="",J237=""),"",AA237*J237)</f>
        <v/>
      </c>
      <c r="AC237" s="35"/>
      <c r="AD237" s="35"/>
      <c r="AE237" s="36"/>
      <c r="AF237" s="34" t="str">
        <f aca="true">IF(OR(D237="",R237="Cancelled"),"",IF(H237="","NO QTY",IF(AND(L237="Buy",E237=""),"NO PART NO",IF(AND(W237&lt;&gt;"",NOT(OR(R237="Received",R237="NSW Purchased")),W237&lt;TODAY()),"OVERDUE",IF(AND(W237&lt;&gt;"",Q237&lt;&gt;"",W237&gt;Q237),"LATE vs REQ",IF(AND(R237="Finalized – Not Purchased",T237=""),"NEED PR",IF(AND(Y237&lt;&gt;"",Y237&lt;J237),"SHORT","")))))))</f>
        <v/>
      </c>
      <c r="AG237" s="35"/>
    </row>
    <row r="238" customFormat="false" ht="15" hidden="false" customHeight="false" outlineLevel="0" collapsed="false">
      <c r="A238" s="34" t="str">
        <f aca="false">IF(B238="","",LEFT(B238,3)&amp;"-"&amp;TEXT(COUNTIF(B$11:B238,B238),"00"))</f>
        <v/>
      </c>
      <c r="B238" s="35"/>
      <c r="C238" s="35"/>
      <c r="D238" s="35"/>
      <c r="E238" s="35"/>
      <c r="F238" s="35"/>
      <c r="G238" s="35"/>
      <c r="H238" s="35"/>
      <c r="I238" s="35"/>
      <c r="J238" s="34" t="str">
        <f aca="false">IF(H238="","",H238*IF(I238="",1,I238))</f>
        <v/>
      </c>
      <c r="K238" s="35"/>
      <c r="L238" s="35"/>
      <c r="M238" s="35"/>
      <c r="N238" s="35"/>
      <c r="O238" s="35"/>
      <c r="P238" s="36"/>
      <c r="Q238" s="36"/>
      <c r="R238" s="35"/>
      <c r="S238" s="35"/>
      <c r="T238" s="35"/>
      <c r="U238" s="35"/>
      <c r="V238" s="36"/>
      <c r="W238" s="36"/>
      <c r="X238" s="35"/>
      <c r="Y238" s="35"/>
      <c r="Z238" s="36"/>
      <c r="AA238" s="37"/>
      <c r="AB238" s="38" t="str">
        <f aca="false">IF(OR(AA238="",J238=""),"",AA238*J238)</f>
        <v/>
      </c>
      <c r="AC238" s="35"/>
      <c r="AD238" s="35"/>
      <c r="AE238" s="36"/>
      <c r="AF238" s="34" t="str">
        <f aca="true">IF(OR(D238="",R238="Cancelled"),"",IF(H238="","NO QTY",IF(AND(L238="Buy",E238=""),"NO PART NO",IF(AND(W238&lt;&gt;"",NOT(OR(R238="Received",R238="NSW Purchased")),W238&lt;TODAY()),"OVERDUE",IF(AND(W238&lt;&gt;"",Q238&lt;&gt;"",W238&gt;Q238),"LATE vs REQ",IF(AND(R238="Finalized – Not Purchased",T238=""),"NEED PR",IF(AND(Y238&lt;&gt;"",Y238&lt;J238),"SHORT","")))))))</f>
        <v/>
      </c>
      <c r="AG238" s="35"/>
    </row>
    <row r="239" customFormat="false" ht="15" hidden="false" customHeight="false" outlineLevel="0" collapsed="false">
      <c r="A239" s="34" t="str">
        <f aca="false">IF(B239="","",LEFT(B239,3)&amp;"-"&amp;TEXT(COUNTIF(B$11:B239,B239),"00"))</f>
        <v/>
      </c>
      <c r="B239" s="35"/>
      <c r="C239" s="35"/>
      <c r="D239" s="35"/>
      <c r="E239" s="35"/>
      <c r="F239" s="35"/>
      <c r="G239" s="35"/>
      <c r="H239" s="35"/>
      <c r="I239" s="35"/>
      <c r="J239" s="34" t="str">
        <f aca="false">IF(H239="","",H239*IF(I239="",1,I239))</f>
        <v/>
      </c>
      <c r="K239" s="35"/>
      <c r="L239" s="35"/>
      <c r="M239" s="35"/>
      <c r="N239" s="35"/>
      <c r="O239" s="35"/>
      <c r="P239" s="36"/>
      <c r="Q239" s="36"/>
      <c r="R239" s="35"/>
      <c r="S239" s="35"/>
      <c r="T239" s="35"/>
      <c r="U239" s="35"/>
      <c r="V239" s="36"/>
      <c r="W239" s="36"/>
      <c r="X239" s="35"/>
      <c r="Y239" s="35"/>
      <c r="Z239" s="36"/>
      <c r="AA239" s="37"/>
      <c r="AB239" s="38" t="str">
        <f aca="false">IF(OR(AA239="",J239=""),"",AA239*J239)</f>
        <v/>
      </c>
      <c r="AC239" s="35"/>
      <c r="AD239" s="35"/>
      <c r="AE239" s="36"/>
      <c r="AF239" s="34" t="str">
        <f aca="true">IF(OR(D239="",R239="Cancelled"),"",IF(H239="","NO QTY",IF(AND(L239="Buy",E239=""),"NO PART NO",IF(AND(W239&lt;&gt;"",NOT(OR(R239="Received",R239="NSW Purchased")),W239&lt;TODAY()),"OVERDUE",IF(AND(W239&lt;&gt;"",Q239&lt;&gt;"",W239&gt;Q239),"LATE vs REQ",IF(AND(R239="Finalized – Not Purchased",T239=""),"NEED PR",IF(AND(Y239&lt;&gt;"",Y239&lt;J239),"SHORT","")))))))</f>
        <v/>
      </c>
      <c r="AG239" s="35"/>
    </row>
    <row r="240" customFormat="false" ht="15" hidden="false" customHeight="false" outlineLevel="0" collapsed="false">
      <c r="A240" s="34" t="str">
        <f aca="false">IF(B240="","",LEFT(B240,3)&amp;"-"&amp;TEXT(COUNTIF(B$11:B240,B240),"00"))</f>
        <v/>
      </c>
      <c r="B240" s="35"/>
      <c r="C240" s="35"/>
      <c r="D240" s="35"/>
      <c r="E240" s="35"/>
      <c r="F240" s="35"/>
      <c r="G240" s="35"/>
      <c r="H240" s="35"/>
      <c r="I240" s="35"/>
      <c r="J240" s="34" t="str">
        <f aca="false">IF(H240="","",H240*IF(I240="",1,I240))</f>
        <v/>
      </c>
      <c r="K240" s="35"/>
      <c r="L240" s="35"/>
      <c r="M240" s="35"/>
      <c r="N240" s="35"/>
      <c r="O240" s="35"/>
      <c r="P240" s="36"/>
      <c r="Q240" s="36"/>
      <c r="R240" s="35"/>
      <c r="S240" s="35"/>
      <c r="T240" s="35"/>
      <c r="U240" s="35"/>
      <c r="V240" s="36"/>
      <c r="W240" s="36"/>
      <c r="X240" s="35"/>
      <c r="Y240" s="35"/>
      <c r="Z240" s="36"/>
      <c r="AA240" s="37"/>
      <c r="AB240" s="38" t="str">
        <f aca="false">IF(OR(AA240="",J240=""),"",AA240*J240)</f>
        <v/>
      </c>
      <c r="AC240" s="35"/>
      <c r="AD240" s="35"/>
      <c r="AE240" s="36"/>
      <c r="AF240" s="34" t="str">
        <f aca="true">IF(OR(D240="",R240="Cancelled"),"",IF(H240="","NO QTY",IF(AND(L240="Buy",E240=""),"NO PART NO",IF(AND(W240&lt;&gt;"",NOT(OR(R240="Received",R240="NSW Purchased")),W240&lt;TODAY()),"OVERDUE",IF(AND(W240&lt;&gt;"",Q240&lt;&gt;"",W240&gt;Q240),"LATE vs REQ",IF(AND(R240="Finalized – Not Purchased",T240=""),"NEED PR",IF(AND(Y240&lt;&gt;"",Y240&lt;J240),"SHORT","")))))))</f>
        <v/>
      </c>
      <c r="AG240" s="35"/>
    </row>
    <row r="241" customFormat="false" ht="15" hidden="false" customHeight="false" outlineLevel="0" collapsed="false">
      <c r="A241" s="34" t="str">
        <f aca="false">IF(B241="","",LEFT(B241,3)&amp;"-"&amp;TEXT(COUNTIF(B$11:B241,B241),"00"))</f>
        <v/>
      </c>
      <c r="B241" s="35"/>
      <c r="C241" s="35"/>
      <c r="D241" s="35"/>
      <c r="E241" s="35"/>
      <c r="F241" s="35"/>
      <c r="G241" s="35"/>
      <c r="H241" s="35"/>
      <c r="I241" s="35"/>
      <c r="J241" s="34" t="str">
        <f aca="false">IF(H241="","",H241*IF(I241="",1,I241))</f>
        <v/>
      </c>
      <c r="K241" s="35"/>
      <c r="L241" s="35"/>
      <c r="M241" s="35"/>
      <c r="N241" s="35"/>
      <c r="O241" s="35"/>
      <c r="P241" s="36"/>
      <c r="Q241" s="36"/>
      <c r="R241" s="35"/>
      <c r="S241" s="35"/>
      <c r="T241" s="35"/>
      <c r="U241" s="35"/>
      <c r="V241" s="36"/>
      <c r="W241" s="36"/>
      <c r="X241" s="35"/>
      <c r="Y241" s="35"/>
      <c r="Z241" s="36"/>
      <c r="AA241" s="37"/>
      <c r="AB241" s="38" t="str">
        <f aca="false">IF(OR(AA241="",J241=""),"",AA241*J241)</f>
        <v/>
      </c>
      <c r="AC241" s="35"/>
      <c r="AD241" s="35"/>
      <c r="AE241" s="36"/>
      <c r="AF241" s="34" t="str">
        <f aca="true">IF(OR(D241="",R241="Cancelled"),"",IF(H241="","NO QTY",IF(AND(L241="Buy",E241=""),"NO PART NO",IF(AND(W241&lt;&gt;"",NOT(OR(R241="Received",R241="NSW Purchased")),W241&lt;TODAY()),"OVERDUE",IF(AND(W241&lt;&gt;"",Q241&lt;&gt;"",W241&gt;Q241),"LATE vs REQ",IF(AND(R241="Finalized – Not Purchased",T241=""),"NEED PR",IF(AND(Y241&lt;&gt;"",Y241&lt;J241),"SHORT","")))))))</f>
        <v/>
      </c>
      <c r="AG241" s="35"/>
    </row>
    <row r="242" customFormat="false" ht="15" hidden="false" customHeight="false" outlineLevel="0" collapsed="false">
      <c r="A242" s="34" t="str">
        <f aca="false">IF(B242="","",LEFT(B242,3)&amp;"-"&amp;TEXT(COUNTIF(B$11:B242,B242),"00"))</f>
        <v/>
      </c>
      <c r="B242" s="35"/>
      <c r="C242" s="35"/>
      <c r="D242" s="35"/>
      <c r="E242" s="35"/>
      <c r="F242" s="35"/>
      <c r="G242" s="35"/>
      <c r="H242" s="35"/>
      <c r="I242" s="35"/>
      <c r="J242" s="34" t="str">
        <f aca="false">IF(H242="","",H242*IF(I242="",1,I242))</f>
        <v/>
      </c>
      <c r="K242" s="35"/>
      <c r="L242" s="35"/>
      <c r="M242" s="35"/>
      <c r="N242" s="35"/>
      <c r="O242" s="35"/>
      <c r="P242" s="36"/>
      <c r="Q242" s="36"/>
      <c r="R242" s="35"/>
      <c r="S242" s="35"/>
      <c r="T242" s="35"/>
      <c r="U242" s="35"/>
      <c r="V242" s="36"/>
      <c r="W242" s="36"/>
      <c r="X242" s="35"/>
      <c r="Y242" s="35"/>
      <c r="Z242" s="36"/>
      <c r="AA242" s="37"/>
      <c r="AB242" s="38" t="str">
        <f aca="false">IF(OR(AA242="",J242=""),"",AA242*J242)</f>
        <v/>
      </c>
      <c r="AC242" s="35"/>
      <c r="AD242" s="35"/>
      <c r="AE242" s="36"/>
      <c r="AF242" s="34" t="str">
        <f aca="true">IF(OR(D242="",R242="Cancelled"),"",IF(H242="","NO QTY",IF(AND(L242="Buy",E242=""),"NO PART NO",IF(AND(W242&lt;&gt;"",NOT(OR(R242="Received",R242="NSW Purchased")),W242&lt;TODAY()),"OVERDUE",IF(AND(W242&lt;&gt;"",Q242&lt;&gt;"",W242&gt;Q242),"LATE vs REQ",IF(AND(R242="Finalized – Not Purchased",T242=""),"NEED PR",IF(AND(Y242&lt;&gt;"",Y242&lt;J242),"SHORT","")))))))</f>
        <v/>
      </c>
      <c r="AG242" s="35"/>
    </row>
    <row r="243" customFormat="false" ht="15" hidden="false" customHeight="false" outlineLevel="0" collapsed="false">
      <c r="A243" s="34" t="str">
        <f aca="false">IF(B243="","",LEFT(B243,3)&amp;"-"&amp;TEXT(COUNTIF(B$11:B243,B243),"00"))</f>
        <v/>
      </c>
      <c r="B243" s="35"/>
      <c r="C243" s="35"/>
      <c r="D243" s="35"/>
      <c r="E243" s="35"/>
      <c r="F243" s="35"/>
      <c r="G243" s="35"/>
      <c r="H243" s="35"/>
      <c r="I243" s="35"/>
      <c r="J243" s="34" t="str">
        <f aca="false">IF(H243="","",H243*IF(I243="",1,I243))</f>
        <v/>
      </c>
      <c r="K243" s="35"/>
      <c r="L243" s="35"/>
      <c r="M243" s="35"/>
      <c r="N243" s="35"/>
      <c r="O243" s="35"/>
      <c r="P243" s="36"/>
      <c r="Q243" s="36"/>
      <c r="R243" s="35"/>
      <c r="S243" s="35"/>
      <c r="T243" s="35"/>
      <c r="U243" s="35"/>
      <c r="V243" s="36"/>
      <c r="W243" s="36"/>
      <c r="X243" s="35"/>
      <c r="Y243" s="35"/>
      <c r="Z243" s="36"/>
      <c r="AA243" s="37"/>
      <c r="AB243" s="38" t="str">
        <f aca="false">IF(OR(AA243="",J243=""),"",AA243*J243)</f>
        <v/>
      </c>
      <c r="AC243" s="35"/>
      <c r="AD243" s="35"/>
      <c r="AE243" s="36"/>
      <c r="AF243" s="34" t="str">
        <f aca="true">IF(OR(D243="",R243="Cancelled"),"",IF(H243="","NO QTY",IF(AND(L243="Buy",E243=""),"NO PART NO",IF(AND(W243&lt;&gt;"",NOT(OR(R243="Received",R243="NSW Purchased")),W243&lt;TODAY()),"OVERDUE",IF(AND(W243&lt;&gt;"",Q243&lt;&gt;"",W243&gt;Q243),"LATE vs REQ",IF(AND(R243="Finalized – Not Purchased",T243=""),"NEED PR",IF(AND(Y243&lt;&gt;"",Y243&lt;J243),"SHORT","")))))))</f>
        <v/>
      </c>
      <c r="AG243" s="35"/>
    </row>
    <row r="244" customFormat="false" ht="15" hidden="false" customHeight="false" outlineLevel="0" collapsed="false">
      <c r="A244" s="34" t="str">
        <f aca="false">IF(B244="","",LEFT(B244,3)&amp;"-"&amp;TEXT(COUNTIF(B$11:B244,B244),"00"))</f>
        <v/>
      </c>
      <c r="B244" s="35"/>
      <c r="C244" s="35"/>
      <c r="D244" s="35"/>
      <c r="E244" s="35"/>
      <c r="F244" s="35"/>
      <c r="G244" s="35"/>
      <c r="H244" s="35"/>
      <c r="I244" s="35"/>
      <c r="J244" s="34" t="str">
        <f aca="false">IF(H244="","",H244*IF(I244="",1,I244))</f>
        <v/>
      </c>
      <c r="K244" s="35"/>
      <c r="L244" s="35"/>
      <c r="M244" s="35"/>
      <c r="N244" s="35"/>
      <c r="O244" s="35"/>
      <c r="P244" s="36"/>
      <c r="Q244" s="36"/>
      <c r="R244" s="35"/>
      <c r="S244" s="35"/>
      <c r="T244" s="35"/>
      <c r="U244" s="35"/>
      <c r="V244" s="36"/>
      <c r="W244" s="36"/>
      <c r="X244" s="35"/>
      <c r="Y244" s="35"/>
      <c r="Z244" s="36"/>
      <c r="AA244" s="37"/>
      <c r="AB244" s="38" t="str">
        <f aca="false">IF(OR(AA244="",J244=""),"",AA244*J244)</f>
        <v/>
      </c>
      <c r="AC244" s="35"/>
      <c r="AD244" s="35"/>
      <c r="AE244" s="36"/>
      <c r="AF244" s="34" t="str">
        <f aca="true">IF(OR(D244="",R244="Cancelled"),"",IF(H244="","NO QTY",IF(AND(L244="Buy",E244=""),"NO PART NO",IF(AND(W244&lt;&gt;"",NOT(OR(R244="Received",R244="NSW Purchased")),W244&lt;TODAY()),"OVERDUE",IF(AND(W244&lt;&gt;"",Q244&lt;&gt;"",W244&gt;Q244),"LATE vs REQ",IF(AND(R244="Finalized – Not Purchased",T244=""),"NEED PR",IF(AND(Y244&lt;&gt;"",Y244&lt;J244),"SHORT","")))))))</f>
        <v/>
      </c>
      <c r="AG244" s="35"/>
    </row>
    <row r="245" customFormat="false" ht="15" hidden="false" customHeight="false" outlineLevel="0" collapsed="false">
      <c r="A245" s="34" t="str">
        <f aca="false">IF(B245="","",LEFT(B245,3)&amp;"-"&amp;TEXT(COUNTIF(B$11:B245,B245),"00"))</f>
        <v/>
      </c>
      <c r="B245" s="35"/>
      <c r="C245" s="35"/>
      <c r="D245" s="35"/>
      <c r="E245" s="35"/>
      <c r="F245" s="35"/>
      <c r="G245" s="35"/>
      <c r="H245" s="35"/>
      <c r="I245" s="35"/>
      <c r="J245" s="34" t="str">
        <f aca="false">IF(H245="","",H245*IF(I245="",1,I245))</f>
        <v/>
      </c>
      <c r="K245" s="35"/>
      <c r="L245" s="35"/>
      <c r="M245" s="35"/>
      <c r="N245" s="35"/>
      <c r="O245" s="35"/>
      <c r="P245" s="36"/>
      <c r="Q245" s="36"/>
      <c r="R245" s="35"/>
      <c r="S245" s="35"/>
      <c r="T245" s="35"/>
      <c r="U245" s="35"/>
      <c r="V245" s="36"/>
      <c r="W245" s="36"/>
      <c r="X245" s="35"/>
      <c r="Y245" s="35"/>
      <c r="Z245" s="36"/>
      <c r="AA245" s="37"/>
      <c r="AB245" s="38" t="str">
        <f aca="false">IF(OR(AA245="",J245=""),"",AA245*J245)</f>
        <v/>
      </c>
      <c r="AC245" s="35"/>
      <c r="AD245" s="35"/>
      <c r="AE245" s="36"/>
      <c r="AF245" s="34" t="str">
        <f aca="true">IF(OR(D245="",R245="Cancelled"),"",IF(H245="","NO QTY",IF(AND(L245="Buy",E245=""),"NO PART NO",IF(AND(W245&lt;&gt;"",NOT(OR(R245="Received",R245="NSW Purchased")),W245&lt;TODAY()),"OVERDUE",IF(AND(W245&lt;&gt;"",Q245&lt;&gt;"",W245&gt;Q245),"LATE vs REQ",IF(AND(R245="Finalized – Not Purchased",T245=""),"NEED PR",IF(AND(Y245&lt;&gt;"",Y245&lt;J245),"SHORT","")))))))</f>
        <v/>
      </c>
      <c r="AG245" s="35"/>
    </row>
    <row r="246" customFormat="false" ht="15" hidden="false" customHeight="false" outlineLevel="0" collapsed="false">
      <c r="A246" s="34" t="str">
        <f aca="false">IF(B246="","",LEFT(B246,3)&amp;"-"&amp;TEXT(COUNTIF(B$11:B246,B246),"00"))</f>
        <v/>
      </c>
      <c r="B246" s="35"/>
      <c r="C246" s="35"/>
      <c r="D246" s="35"/>
      <c r="E246" s="35"/>
      <c r="F246" s="35"/>
      <c r="G246" s="35"/>
      <c r="H246" s="35"/>
      <c r="I246" s="35"/>
      <c r="J246" s="34" t="str">
        <f aca="false">IF(H246="","",H246*IF(I246="",1,I246))</f>
        <v/>
      </c>
      <c r="K246" s="35"/>
      <c r="L246" s="35"/>
      <c r="M246" s="35"/>
      <c r="N246" s="35"/>
      <c r="O246" s="35"/>
      <c r="P246" s="36"/>
      <c r="Q246" s="36"/>
      <c r="R246" s="35"/>
      <c r="S246" s="35"/>
      <c r="T246" s="35"/>
      <c r="U246" s="35"/>
      <c r="V246" s="36"/>
      <c r="W246" s="36"/>
      <c r="X246" s="35"/>
      <c r="Y246" s="35"/>
      <c r="Z246" s="36"/>
      <c r="AA246" s="37"/>
      <c r="AB246" s="38" t="str">
        <f aca="false">IF(OR(AA246="",J246=""),"",AA246*J246)</f>
        <v/>
      </c>
      <c r="AC246" s="35"/>
      <c r="AD246" s="35"/>
      <c r="AE246" s="36"/>
      <c r="AF246" s="34" t="str">
        <f aca="true">IF(OR(D246="",R246="Cancelled"),"",IF(H246="","NO QTY",IF(AND(L246="Buy",E246=""),"NO PART NO",IF(AND(W246&lt;&gt;"",NOT(OR(R246="Received",R246="NSW Purchased")),W246&lt;TODAY()),"OVERDUE",IF(AND(W246&lt;&gt;"",Q246&lt;&gt;"",W246&gt;Q246),"LATE vs REQ",IF(AND(R246="Finalized – Not Purchased",T246=""),"NEED PR",IF(AND(Y246&lt;&gt;"",Y246&lt;J246),"SHORT","")))))))</f>
        <v/>
      </c>
      <c r="AG246" s="35"/>
    </row>
    <row r="247" customFormat="false" ht="15" hidden="false" customHeight="false" outlineLevel="0" collapsed="false">
      <c r="A247" s="34" t="str">
        <f aca="false">IF(B247="","",LEFT(B247,3)&amp;"-"&amp;TEXT(COUNTIF(B$11:B247,B247),"00"))</f>
        <v/>
      </c>
      <c r="B247" s="35"/>
      <c r="C247" s="35"/>
      <c r="D247" s="35"/>
      <c r="E247" s="35"/>
      <c r="F247" s="35"/>
      <c r="G247" s="35"/>
      <c r="H247" s="35"/>
      <c r="I247" s="35"/>
      <c r="J247" s="34" t="str">
        <f aca="false">IF(H247="","",H247*IF(I247="",1,I247))</f>
        <v/>
      </c>
      <c r="K247" s="35"/>
      <c r="L247" s="35"/>
      <c r="M247" s="35"/>
      <c r="N247" s="35"/>
      <c r="O247" s="35"/>
      <c r="P247" s="36"/>
      <c r="Q247" s="36"/>
      <c r="R247" s="35"/>
      <c r="S247" s="35"/>
      <c r="T247" s="35"/>
      <c r="U247" s="35"/>
      <c r="V247" s="36"/>
      <c r="W247" s="36"/>
      <c r="X247" s="35"/>
      <c r="Y247" s="35"/>
      <c r="Z247" s="36"/>
      <c r="AA247" s="37"/>
      <c r="AB247" s="38" t="str">
        <f aca="false">IF(OR(AA247="",J247=""),"",AA247*J247)</f>
        <v/>
      </c>
      <c r="AC247" s="35"/>
      <c r="AD247" s="35"/>
      <c r="AE247" s="36"/>
      <c r="AF247" s="34" t="str">
        <f aca="true">IF(OR(D247="",R247="Cancelled"),"",IF(H247="","NO QTY",IF(AND(L247="Buy",E247=""),"NO PART NO",IF(AND(W247&lt;&gt;"",NOT(OR(R247="Received",R247="NSW Purchased")),W247&lt;TODAY()),"OVERDUE",IF(AND(W247&lt;&gt;"",Q247&lt;&gt;"",W247&gt;Q247),"LATE vs REQ",IF(AND(R247="Finalized – Not Purchased",T247=""),"NEED PR",IF(AND(Y247&lt;&gt;"",Y247&lt;J247),"SHORT","")))))))</f>
        <v/>
      </c>
      <c r="AG247" s="35"/>
    </row>
    <row r="248" customFormat="false" ht="15" hidden="false" customHeight="false" outlineLevel="0" collapsed="false">
      <c r="A248" s="34" t="str">
        <f aca="false">IF(B248="","",LEFT(B248,3)&amp;"-"&amp;TEXT(COUNTIF(B$11:B248,B248),"00"))</f>
        <v/>
      </c>
      <c r="B248" s="35"/>
      <c r="C248" s="35"/>
      <c r="D248" s="35"/>
      <c r="E248" s="35"/>
      <c r="F248" s="35"/>
      <c r="G248" s="35"/>
      <c r="H248" s="35"/>
      <c r="I248" s="35"/>
      <c r="J248" s="34" t="str">
        <f aca="false">IF(H248="","",H248*IF(I248="",1,I248))</f>
        <v/>
      </c>
      <c r="K248" s="35"/>
      <c r="L248" s="35"/>
      <c r="M248" s="35"/>
      <c r="N248" s="35"/>
      <c r="O248" s="35"/>
      <c r="P248" s="36"/>
      <c r="Q248" s="36"/>
      <c r="R248" s="35"/>
      <c r="S248" s="35"/>
      <c r="T248" s="35"/>
      <c r="U248" s="35"/>
      <c r="V248" s="36"/>
      <c r="W248" s="36"/>
      <c r="X248" s="35"/>
      <c r="Y248" s="35"/>
      <c r="Z248" s="36"/>
      <c r="AA248" s="37"/>
      <c r="AB248" s="38" t="str">
        <f aca="false">IF(OR(AA248="",J248=""),"",AA248*J248)</f>
        <v/>
      </c>
      <c r="AC248" s="35"/>
      <c r="AD248" s="35"/>
      <c r="AE248" s="36"/>
      <c r="AF248" s="34" t="str">
        <f aca="true">IF(OR(D248="",R248="Cancelled"),"",IF(H248="","NO QTY",IF(AND(L248="Buy",E248=""),"NO PART NO",IF(AND(W248&lt;&gt;"",NOT(OR(R248="Received",R248="NSW Purchased")),W248&lt;TODAY()),"OVERDUE",IF(AND(W248&lt;&gt;"",Q248&lt;&gt;"",W248&gt;Q248),"LATE vs REQ",IF(AND(R248="Finalized – Not Purchased",T248=""),"NEED PR",IF(AND(Y248&lt;&gt;"",Y248&lt;J248),"SHORT","")))))))</f>
        <v/>
      </c>
      <c r="AG248" s="35"/>
    </row>
    <row r="249" customFormat="false" ht="15" hidden="false" customHeight="false" outlineLevel="0" collapsed="false">
      <c r="A249" s="34" t="str">
        <f aca="false">IF(B249="","",LEFT(B249,3)&amp;"-"&amp;TEXT(COUNTIF(B$11:B249,B249),"00"))</f>
        <v/>
      </c>
      <c r="B249" s="35"/>
      <c r="C249" s="35"/>
      <c r="D249" s="35"/>
      <c r="E249" s="35"/>
      <c r="F249" s="35"/>
      <c r="G249" s="35"/>
      <c r="H249" s="35"/>
      <c r="I249" s="35"/>
      <c r="J249" s="34" t="str">
        <f aca="false">IF(H249="","",H249*IF(I249="",1,I249))</f>
        <v/>
      </c>
      <c r="K249" s="35"/>
      <c r="L249" s="35"/>
      <c r="M249" s="35"/>
      <c r="N249" s="35"/>
      <c r="O249" s="35"/>
      <c r="P249" s="36"/>
      <c r="Q249" s="36"/>
      <c r="R249" s="35"/>
      <c r="S249" s="35"/>
      <c r="T249" s="35"/>
      <c r="U249" s="35"/>
      <c r="V249" s="36"/>
      <c r="W249" s="36"/>
      <c r="X249" s="35"/>
      <c r="Y249" s="35"/>
      <c r="Z249" s="36"/>
      <c r="AA249" s="37"/>
      <c r="AB249" s="38" t="str">
        <f aca="false">IF(OR(AA249="",J249=""),"",AA249*J249)</f>
        <v/>
      </c>
      <c r="AC249" s="35"/>
      <c r="AD249" s="35"/>
      <c r="AE249" s="36"/>
      <c r="AF249" s="34" t="str">
        <f aca="true">IF(OR(D249="",R249="Cancelled"),"",IF(H249="","NO QTY",IF(AND(L249="Buy",E249=""),"NO PART NO",IF(AND(W249&lt;&gt;"",NOT(OR(R249="Received",R249="NSW Purchased")),W249&lt;TODAY()),"OVERDUE",IF(AND(W249&lt;&gt;"",Q249&lt;&gt;"",W249&gt;Q249),"LATE vs REQ",IF(AND(R249="Finalized – Not Purchased",T249=""),"NEED PR",IF(AND(Y249&lt;&gt;"",Y249&lt;J249),"SHORT","")))))))</f>
        <v/>
      </c>
      <c r="AG249" s="35"/>
    </row>
    <row r="250" customFormat="false" ht="15" hidden="false" customHeight="false" outlineLevel="0" collapsed="false">
      <c r="A250" s="34" t="str">
        <f aca="false">IF(B250="","",LEFT(B250,3)&amp;"-"&amp;TEXT(COUNTIF(B$11:B250,B250),"00"))</f>
        <v/>
      </c>
      <c r="B250" s="35"/>
      <c r="C250" s="35"/>
      <c r="D250" s="35"/>
      <c r="E250" s="35"/>
      <c r="F250" s="35"/>
      <c r="G250" s="35"/>
      <c r="H250" s="35"/>
      <c r="I250" s="35"/>
      <c r="J250" s="34" t="str">
        <f aca="false">IF(H250="","",H250*IF(I250="",1,I250))</f>
        <v/>
      </c>
      <c r="K250" s="35"/>
      <c r="L250" s="35"/>
      <c r="M250" s="35"/>
      <c r="N250" s="35"/>
      <c r="O250" s="35"/>
      <c r="P250" s="36"/>
      <c r="Q250" s="36"/>
      <c r="R250" s="35"/>
      <c r="S250" s="35"/>
      <c r="T250" s="35"/>
      <c r="U250" s="35"/>
      <c r="V250" s="36"/>
      <c r="W250" s="36"/>
      <c r="X250" s="35"/>
      <c r="Y250" s="35"/>
      <c r="Z250" s="36"/>
      <c r="AA250" s="37"/>
      <c r="AB250" s="38" t="str">
        <f aca="false">IF(OR(AA250="",J250=""),"",AA250*J250)</f>
        <v/>
      </c>
      <c r="AC250" s="35"/>
      <c r="AD250" s="35"/>
      <c r="AE250" s="36"/>
      <c r="AF250" s="34" t="str">
        <f aca="true">IF(OR(D250="",R250="Cancelled"),"",IF(H250="","NO QTY",IF(AND(L250="Buy",E250=""),"NO PART NO",IF(AND(W250&lt;&gt;"",NOT(OR(R250="Received",R250="NSW Purchased")),W250&lt;TODAY()),"OVERDUE",IF(AND(W250&lt;&gt;"",Q250&lt;&gt;"",W250&gt;Q250),"LATE vs REQ",IF(AND(R250="Finalized – Not Purchased",T250=""),"NEED PR",IF(AND(Y250&lt;&gt;"",Y250&lt;J250),"SHORT","")))))))</f>
        <v/>
      </c>
      <c r="AG250" s="35"/>
    </row>
    <row r="251" customFormat="false" ht="15" hidden="false" customHeight="false" outlineLevel="0" collapsed="false">
      <c r="A251" s="34" t="str">
        <f aca="false">IF(B251="","",LEFT(B251,3)&amp;"-"&amp;TEXT(COUNTIF(B$11:B251,B251),"00"))</f>
        <v/>
      </c>
      <c r="B251" s="35"/>
      <c r="C251" s="35"/>
      <c r="D251" s="35"/>
      <c r="E251" s="35"/>
      <c r="F251" s="35"/>
      <c r="G251" s="35"/>
      <c r="H251" s="35"/>
      <c r="I251" s="35"/>
      <c r="J251" s="34" t="str">
        <f aca="false">IF(H251="","",H251*IF(I251="",1,I251))</f>
        <v/>
      </c>
      <c r="K251" s="35"/>
      <c r="L251" s="35"/>
      <c r="M251" s="35"/>
      <c r="N251" s="35"/>
      <c r="O251" s="35"/>
      <c r="P251" s="36"/>
      <c r="Q251" s="36"/>
      <c r="R251" s="35"/>
      <c r="S251" s="35"/>
      <c r="T251" s="35"/>
      <c r="U251" s="35"/>
      <c r="V251" s="36"/>
      <c r="W251" s="36"/>
      <c r="X251" s="35"/>
      <c r="Y251" s="35"/>
      <c r="Z251" s="36"/>
      <c r="AA251" s="37"/>
      <c r="AB251" s="38" t="str">
        <f aca="false">IF(OR(AA251="",J251=""),"",AA251*J251)</f>
        <v/>
      </c>
      <c r="AC251" s="35"/>
      <c r="AD251" s="35"/>
      <c r="AE251" s="36"/>
      <c r="AF251" s="34" t="str">
        <f aca="true">IF(OR(D251="",R251="Cancelled"),"",IF(H251="","NO QTY",IF(AND(L251="Buy",E251=""),"NO PART NO",IF(AND(W251&lt;&gt;"",NOT(OR(R251="Received",R251="NSW Purchased")),W251&lt;TODAY()),"OVERDUE",IF(AND(W251&lt;&gt;"",Q251&lt;&gt;"",W251&gt;Q251),"LATE vs REQ",IF(AND(R251="Finalized – Not Purchased",T251=""),"NEED PR",IF(AND(Y251&lt;&gt;"",Y251&lt;J251),"SHORT","")))))))</f>
        <v/>
      </c>
      <c r="AG251" s="35"/>
    </row>
    <row r="252" customFormat="false" ht="15" hidden="false" customHeight="false" outlineLevel="0" collapsed="false">
      <c r="A252" s="34" t="str">
        <f aca="false">IF(B252="","",LEFT(B252,3)&amp;"-"&amp;TEXT(COUNTIF(B$11:B252,B252),"00"))</f>
        <v/>
      </c>
      <c r="B252" s="35"/>
      <c r="C252" s="35"/>
      <c r="D252" s="35"/>
      <c r="E252" s="35"/>
      <c r="F252" s="35"/>
      <c r="G252" s="35"/>
      <c r="H252" s="35"/>
      <c r="I252" s="35"/>
      <c r="J252" s="34" t="str">
        <f aca="false">IF(H252="","",H252*IF(I252="",1,I252))</f>
        <v/>
      </c>
      <c r="K252" s="35"/>
      <c r="L252" s="35"/>
      <c r="M252" s="35"/>
      <c r="N252" s="35"/>
      <c r="O252" s="35"/>
      <c r="P252" s="36"/>
      <c r="Q252" s="36"/>
      <c r="R252" s="35"/>
      <c r="S252" s="35"/>
      <c r="T252" s="35"/>
      <c r="U252" s="35"/>
      <c r="V252" s="36"/>
      <c r="W252" s="36"/>
      <c r="X252" s="35"/>
      <c r="Y252" s="35"/>
      <c r="Z252" s="36"/>
      <c r="AA252" s="37"/>
      <c r="AB252" s="38" t="str">
        <f aca="false">IF(OR(AA252="",J252=""),"",AA252*J252)</f>
        <v/>
      </c>
      <c r="AC252" s="35"/>
      <c r="AD252" s="35"/>
      <c r="AE252" s="36"/>
      <c r="AF252" s="34" t="str">
        <f aca="true">IF(OR(D252="",R252="Cancelled"),"",IF(H252="","NO QTY",IF(AND(L252="Buy",E252=""),"NO PART NO",IF(AND(W252&lt;&gt;"",NOT(OR(R252="Received",R252="NSW Purchased")),W252&lt;TODAY()),"OVERDUE",IF(AND(W252&lt;&gt;"",Q252&lt;&gt;"",W252&gt;Q252),"LATE vs REQ",IF(AND(R252="Finalized – Not Purchased",T252=""),"NEED PR",IF(AND(Y252&lt;&gt;"",Y252&lt;J252),"SHORT","")))))))</f>
        <v/>
      </c>
      <c r="AG252" s="35"/>
    </row>
    <row r="253" customFormat="false" ht="15" hidden="false" customHeight="false" outlineLevel="0" collapsed="false">
      <c r="A253" s="34" t="str">
        <f aca="false">IF(B253="","",LEFT(B253,3)&amp;"-"&amp;TEXT(COUNTIF(B$11:B253,B253),"00"))</f>
        <v/>
      </c>
      <c r="B253" s="35"/>
      <c r="C253" s="35"/>
      <c r="D253" s="35"/>
      <c r="E253" s="35"/>
      <c r="F253" s="35"/>
      <c r="G253" s="35"/>
      <c r="H253" s="35"/>
      <c r="I253" s="35"/>
      <c r="J253" s="34" t="str">
        <f aca="false">IF(H253="","",H253*IF(I253="",1,I253))</f>
        <v/>
      </c>
      <c r="K253" s="35"/>
      <c r="L253" s="35"/>
      <c r="M253" s="35"/>
      <c r="N253" s="35"/>
      <c r="O253" s="35"/>
      <c r="P253" s="36"/>
      <c r="Q253" s="36"/>
      <c r="R253" s="35"/>
      <c r="S253" s="35"/>
      <c r="T253" s="35"/>
      <c r="U253" s="35"/>
      <c r="V253" s="36"/>
      <c r="W253" s="36"/>
      <c r="X253" s="35"/>
      <c r="Y253" s="35"/>
      <c r="Z253" s="36"/>
      <c r="AA253" s="37"/>
      <c r="AB253" s="38" t="str">
        <f aca="false">IF(OR(AA253="",J253=""),"",AA253*J253)</f>
        <v/>
      </c>
      <c r="AC253" s="35"/>
      <c r="AD253" s="35"/>
      <c r="AE253" s="36"/>
      <c r="AF253" s="34" t="str">
        <f aca="true">IF(OR(D253="",R253="Cancelled"),"",IF(H253="","NO QTY",IF(AND(L253="Buy",E253=""),"NO PART NO",IF(AND(W253&lt;&gt;"",NOT(OR(R253="Received",R253="NSW Purchased")),W253&lt;TODAY()),"OVERDUE",IF(AND(W253&lt;&gt;"",Q253&lt;&gt;"",W253&gt;Q253),"LATE vs REQ",IF(AND(R253="Finalized – Not Purchased",T253=""),"NEED PR",IF(AND(Y253&lt;&gt;"",Y253&lt;J253),"SHORT","")))))))</f>
        <v/>
      </c>
      <c r="AG253" s="35"/>
    </row>
    <row r="254" customFormat="false" ht="15" hidden="false" customHeight="false" outlineLevel="0" collapsed="false">
      <c r="A254" s="34" t="str">
        <f aca="false">IF(B254="","",LEFT(B254,3)&amp;"-"&amp;TEXT(COUNTIF(B$11:B254,B254),"00"))</f>
        <v/>
      </c>
      <c r="B254" s="35"/>
      <c r="C254" s="35"/>
      <c r="D254" s="35"/>
      <c r="E254" s="35"/>
      <c r="F254" s="35"/>
      <c r="G254" s="35"/>
      <c r="H254" s="35"/>
      <c r="I254" s="35"/>
      <c r="J254" s="34" t="str">
        <f aca="false">IF(H254="","",H254*IF(I254="",1,I254))</f>
        <v/>
      </c>
      <c r="K254" s="35"/>
      <c r="L254" s="35"/>
      <c r="M254" s="35"/>
      <c r="N254" s="35"/>
      <c r="O254" s="35"/>
      <c r="P254" s="36"/>
      <c r="Q254" s="36"/>
      <c r="R254" s="35"/>
      <c r="S254" s="35"/>
      <c r="T254" s="35"/>
      <c r="U254" s="35"/>
      <c r="V254" s="36"/>
      <c r="W254" s="36"/>
      <c r="X254" s="35"/>
      <c r="Y254" s="35"/>
      <c r="Z254" s="36"/>
      <c r="AA254" s="37"/>
      <c r="AB254" s="38" t="str">
        <f aca="false">IF(OR(AA254="",J254=""),"",AA254*J254)</f>
        <v/>
      </c>
      <c r="AC254" s="35"/>
      <c r="AD254" s="35"/>
      <c r="AE254" s="36"/>
      <c r="AF254" s="34" t="str">
        <f aca="true">IF(OR(D254="",R254="Cancelled"),"",IF(H254="","NO QTY",IF(AND(L254="Buy",E254=""),"NO PART NO",IF(AND(W254&lt;&gt;"",NOT(OR(R254="Received",R254="NSW Purchased")),W254&lt;TODAY()),"OVERDUE",IF(AND(W254&lt;&gt;"",Q254&lt;&gt;"",W254&gt;Q254),"LATE vs REQ",IF(AND(R254="Finalized – Not Purchased",T254=""),"NEED PR",IF(AND(Y254&lt;&gt;"",Y254&lt;J254),"SHORT","")))))))</f>
        <v/>
      </c>
      <c r="AG254" s="35"/>
    </row>
    <row r="255" customFormat="false" ht="15" hidden="false" customHeight="false" outlineLevel="0" collapsed="false">
      <c r="A255" s="34" t="str">
        <f aca="false">IF(B255="","",LEFT(B255,3)&amp;"-"&amp;TEXT(COUNTIF(B$11:B255,B255),"00"))</f>
        <v/>
      </c>
      <c r="B255" s="35"/>
      <c r="C255" s="35"/>
      <c r="D255" s="35"/>
      <c r="E255" s="35"/>
      <c r="F255" s="35"/>
      <c r="G255" s="35"/>
      <c r="H255" s="35"/>
      <c r="I255" s="35"/>
      <c r="J255" s="34" t="str">
        <f aca="false">IF(H255="","",H255*IF(I255="",1,I255))</f>
        <v/>
      </c>
      <c r="K255" s="35"/>
      <c r="L255" s="35"/>
      <c r="M255" s="35"/>
      <c r="N255" s="35"/>
      <c r="O255" s="35"/>
      <c r="P255" s="36"/>
      <c r="Q255" s="36"/>
      <c r="R255" s="35"/>
      <c r="S255" s="35"/>
      <c r="T255" s="35"/>
      <c r="U255" s="35"/>
      <c r="V255" s="36"/>
      <c r="W255" s="36"/>
      <c r="X255" s="35"/>
      <c r="Y255" s="35"/>
      <c r="Z255" s="36"/>
      <c r="AA255" s="37"/>
      <c r="AB255" s="38" t="str">
        <f aca="false">IF(OR(AA255="",J255=""),"",AA255*J255)</f>
        <v/>
      </c>
      <c r="AC255" s="35"/>
      <c r="AD255" s="35"/>
      <c r="AE255" s="36"/>
      <c r="AF255" s="34" t="str">
        <f aca="true">IF(OR(D255="",R255="Cancelled"),"",IF(H255="","NO QTY",IF(AND(L255="Buy",E255=""),"NO PART NO",IF(AND(W255&lt;&gt;"",NOT(OR(R255="Received",R255="NSW Purchased")),W255&lt;TODAY()),"OVERDUE",IF(AND(W255&lt;&gt;"",Q255&lt;&gt;"",W255&gt;Q255),"LATE vs REQ",IF(AND(R255="Finalized – Not Purchased",T255=""),"NEED PR",IF(AND(Y255&lt;&gt;"",Y255&lt;J255),"SHORT","")))))))</f>
        <v/>
      </c>
      <c r="AG255" s="35"/>
    </row>
    <row r="256" customFormat="false" ht="15" hidden="false" customHeight="false" outlineLevel="0" collapsed="false">
      <c r="A256" s="34" t="str">
        <f aca="false">IF(B256="","",LEFT(B256,3)&amp;"-"&amp;TEXT(COUNTIF(B$11:B256,B256),"00"))</f>
        <v/>
      </c>
      <c r="B256" s="35"/>
      <c r="C256" s="35"/>
      <c r="D256" s="35"/>
      <c r="E256" s="35"/>
      <c r="F256" s="35"/>
      <c r="G256" s="35"/>
      <c r="H256" s="35"/>
      <c r="I256" s="35"/>
      <c r="J256" s="34" t="str">
        <f aca="false">IF(H256="","",H256*IF(I256="",1,I256))</f>
        <v/>
      </c>
      <c r="K256" s="35"/>
      <c r="L256" s="35"/>
      <c r="M256" s="35"/>
      <c r="N256" s="35"/>
      <c r="O256" s="35"/>
      <c r="P256" s="36"/>
      <c r="Q256" s="36"/>
      <c r="R256" s="35"/>
      <c r="S256" s="35"/>
      <c r="T256" s="35"/>
      <c r="U256" s="35"/>
      <c r="V256" s="36"/>
      <c r="W256" s="36"/>
      <c r="X256" s="35"/>
      <c r="Y256" s="35"/>
      <c r="Z256" s="36"/>
      <c r="AA256" s="37"/>
      <c r="AB256" s="38" t="str">
        <f aca="false">IF(OR(AA256="",J256=""),"",AA256*J256)</f>
        <v/>
      </c>
      <c r="AC256" s="35"/>
      <c r="AD256" s="35"/>
      <c r="AE256" s="36"/>
      <c r="AF256" s="34" t="str">
        <f aca="true">IF(OR(D256="",R256="Cancelled"),"",IF(H256="","NO QTY",IF(AND(L256="Buy",E256=""),"NO PART NO",IF(AND(W256&lt;&gt;"",NOT(OR(R256="Received",R256="NSW Purchased")),W256&lt;TODAY()),"OVERDUE",IF(AND(W256&lt;&gt;"",Q256&lt;&gt;"",W256&gt;Q256),"LATE vs REQ",IF(AND(R256="Finalized – Not Purchased",T256=""),"NEED PR",IF(AND(Y256&lt;&gt;"",Y256&lt;J256),"SHORT","")))))))</f>
        <v/>
      </c>
      <c r="AG256" s="35"/>
    </row>
    <row r="257" customFormat="false" ht="15" hidden="false" customHeight="false" outlineLevel="0" collapsed="false">
      <c r="A257" s="34" t="str">
        <f aca="false">IF(B257="","",LEFT(B257,3)&amp;"-"&amp;TEXT(COUNTIF(B$11:B257,B257),"00"))</f>
        <v/>
      </c>
      <c r="B257" s="35"/>
      <c r="C257" s="35"/>
      <c r="D257" s="35"/>
      <c r="E257" s="35"/>
      <c r="F257" s="35"/>
      <c r="G257" s="35"/>
      <c r="H257" s="35"/>
      <c r="I257" s="35"/>
      <c r="J257" s="34" t="str">
        <f aca="false">IF(H257="","",H257*IF(I257="",1,I257))</f>
        <v/>
      </c>
      <c r="K257" s="35"/>
      <c r="L257" s="35"/>
      <c r="M257" s="35"/>
      <c r="N257" s="35"/>
      <c r="O257" s="35"/>
      <c r="P257" s="36"/>
      <c r="Q257" s="36"/>
      <c r="R257" s="35"/>
      <c r="S257" s="35"/>
      <c r="T257" s="35"/>
      <c r="U257" s="35"/>
      <c r="V257" s="36"/>
      <c r="W257" s="36"/>
      <c r="X257" s="35"/>
      <c r="Y257" s="35"/>
      <c r="Z257" s="36"/>
      <c r="AA257" s="37"/>
      <c r="AB257" s="38" t="str">
        <f aca="false">IF(OR(AA257="",J257=""),"",AA257*J257)</f>
        <v/>
      </c>
      <c r="AC257" s="35"/>
      <c r="AD257" s="35"/>
      <c r="AE257" s="36"/>
      <c r="AF257" s="34" t="str">
        <f aca="true">IF(OR(D257="",R257="Cancelled"),"",IF(H257="","NO QTY",IF(AND(L257="Buy",E257=""),"NO PART NO",IF(AND(W257&lt;&gt;"",NOT(OR(R257="Received",R257="NSW Purchased")),W257&lt;TODAY()),"OVERDUE",IF(AND(W257&lt;&gt;"",Q257&lt;&gt;"",W257&gt;Q257),"LATE vs REQ",IF(AND(R257="Finalized – Not Purchased",T257=""),"NEED PR",IF(AND(Y257&lt;&gt;"",Y257&lt;J257),"SHORT","")))))))</f>
        <v/>
      </c>
      <c r="AG257" s="35"/>
    </row>
    <row r="258" customFormat="false" ht="15" hidden="false" customHeight="false" outlineLevel="0" collapsed="false">
      <c r="A258" s="34" t="str">
        <f aca="false">IF(B258="","",LEFT(B258,3)&amp;"-"&amp;TEXT(COUNTIF(B$11:B258,B258),"00"))</f>
        <v/>
      </c>
      <c r="B258" s="35"/>
      <c r="C258" s="35"/>
      <c r="D258" s="35"/>
      <c r="E258" s="35"/>
      <c r="F258" s="35"/>
      <c r="G258" s="35"/>
      <c r="H258" s="35"/>
      <c r="I258" s="35"/>
      <c r="J258" s="34" t="str">
        <f aca="false">IF(H258="","",H258*IF(I258="",1,I258))</f>
        <v/>
      </c>
      <c r="K258" s="35"/>
      <c r="L258" s="35"/>
      <c r="M258" s="35"/>
      <c r="N258" s="35"/>
      <c r="O258" s="35"/>
      <c r="P258" s="36"/>
      <c r="Q258" s="36"/>
      <c r="R258" s="35"/>
      <c r="S258" s="35"/>
      <c r="T258" s="35"/>
      <c r="U258" s="35"/>
      <c r="V258" s="36"/>
      <c r="W258" s="36"/>
      <c r="X258" s="35"/>
      <c r="Y258" s="35"/>
      <c r="Z258" s="36"/>
      <c r="AA258" s="37"/>
      <c r="AB258" s="38" t="str">
        <f aca="false">IF(OR(AA258="",J258=""),"",AA258*J258)</f>
        <v/>
      </c>
      <c r="AC258" s="35"/>
      <c r="AD258" s="35"/>
      <c r="AE258" s="36"/>
      <c r="AF258" s="34" t="str">
        <f aca="true">IF(OR(D258="",R258="Cancelled"),"",IF(H258="","NO QTY",IF(AND(L258="Buy",E258=""),"NO PART NO",IF(AND(W258&lt;&gt;"",NOT(OR(R258="Received",R258="NSW Purchased")),W258&lt;TODAY()),"OVERDUE",IF(AND(W258&lt;&gt;"",Q258&lt;&gt;"",W258&gt;Q258),"LATE vs REQ",IF(AND(R258="Finalized – Not Purchased",T258=""),"NEED PR",IF(AND(Y258&lt;&gt;"",Y258&lt;J258),"SHORT","")))))))</f>
        <v/>
      </c>
      <c r="AG258" s="35"/>
    </row>
    <row r="259" customFormat="false" ht="15" hidden="false" customHeight="false" outlineLevel="0" collapsed="false">
      <c r="A259" s="34" t="str">
        <f aca="false">IF(B259="","",LEFT(B259,3)&amp;"-"&amp;TEXT(COUNTIF(B$11:B259,B259),"00"))</f>
        <v/>
      </c>
      <c r="B259" s="35"/>
      <c r="C259" s="35"/>
      <c r="D259" s="35"/>
      <c r="E259" s="35"/>
      <c r="F259" s="35"/>
      <c r="G259" s="35"/>
      <c r="H259" s="35"/>
      <c r="I259" s="35"/>
      <c r="J259" s="34" t="str">
        <f aca="false">IF(H259="","",H259*IF(I259="",1,I259))</f>
        <v/>
      </c>
      <c r="K259" s="35"/>
      <c r="L259" s="35"/>
      <c r="M259" s="35"/>
      <c r="N259" s="35"/>
      <c r="O259" s="35"/>
      <c r="P259" s="36"/>
      <c r="Q259" s="36"/>
      <c r="R259" s="35"/>
      <c r="S259" s="35"/>
      <c r="T259" s="35"/>
      <c r="U259" s="35"/>
      <c r="V259" s="36"/>
      <c r="W259" s="36"/>
      <c r="X259" s="35"/>
      <c r="Y259" s="35"/>
      <c r="Z259" s="36"/>
      <c r="AA259" s="37"/>
      <c r="AB259" s="38" t="str">
        <f aca="false">IF(OR(AA259="",J259=""),"",AA259*J259)</f>
        <v/>
      </c>
      <c r="AC259" s="35"/>
      <c r="AD259" s="35"/>
      <c r="AE259" s="36"/>
      <c r="AF259" s="34" t="str">
        <f aca="true">IF(OR(D259="",R259="Cancelled"),"",IF(H259="","NO QTY",IF(AND(L259="Buy",E259=""),"NO PART NO",IF(AND(W259&lt;&gt;"",NOT(OR(R259="Received",R259="NSW Purchased")),W259&lt;TODAY()),"OVERDUE",IF(AND(W259&lt;&gt;"",Q259&lt;&gt;"",W259&gt;Q259),"LATE vs REQ",IF(AND(R259="Finalized – Not Purchased",T259=""),"NEED PR",IF(AND(Y259&lt;&gt;"",Y259&lt;J259),"SHORT","")))))))</f>
        <v/>
      </c>
      <c r="AG259" s="35"/>
    </row>
    <row r="260" customFormat="false" ht="15" hidden="false" customHeight="false" outlineLevel="0" collapsed="false">
      <c r="A260" s="34" t="str">
        <f aca="false">IF(B260="","",LEFT(B260,3)&amp;"-"&amp;TEXT(COUNTIF(B$11:B260,B260),"00"))</f>
        <v/>
      </c>
      <c r="B260" s="35"/>
      <c r="C260" s="35"/>
      <c r="D260" s="35"/>
      <c r="E260" s="35"/>
      <c r="F260" s="35"/>
      <c r="G260" s="35"/>
      <c r="H260" s="35"/>
      <c r="I260" s="35"/>
      <c r="J260" s="34" t="str">
        <f aca="false">IF(H260="","",H260*IF(I260="",1,I260))</f>
        <v/>
      </c>
      <c r="K260" s="35"/>
      <c r="L260" s="35"/>
      <c r="M260" s="35"/>
      <c r="N260" s="35"/>
      <c r="O260" s="35"/>
      <c r="P260" s="36"/>
      <c r="Q260" s="36"/>
      <c r="R260" s="35"/>
      <c r="S260" s="35"/>
      <c r="T260" s="35"/>
      <c r="U260" s="35"/>
      <c r="V260" s="36"/>
      <c r="W260" s="36"/>
      <c r="X260" s="35"/>
      <c r="Y260" s="35"/>
      <c r="Z260" s="36"/>
      <c r="AA260" s="37"/>
      <c r="AB260" s="38" t="str">
        <f aca="false">IF(OR(AA260="",J260=""),"",AA260*J260)</f>
        <v/>
      </c>
      <c r="AC260" s="35"/>
      <c r="AD260" s="35"/>
      <c r="AE260" s="36"/>
      <c r="AF260" s="34" t="str">
        <f aca="true">IF(OR(D260="",R260="Cancelled"),"",IF(H260="","NO QTY",IF(AND(L260="Buy",E260=""),"NO PART NO",IF(AND(W260&lt;&gt;"",NOT(OR(R260="Received",R260="NSW Purchased")),W260&lt;TODAY()),"OVERDUE",IF(AND(W260&lt;&gt;"",Q260&lt;&gt;"",W260&gt;Q260),"LATE vs REQ",IF(AND(R260="Finalized – Not Purchased",T260=""),"NEED PR",IF(AND(Y260&lt;&gt;"",Y260&lt;J260),"SHORT","")))))))</f>
        <v/>
      </c>
      <c r="AG260" s="35"/>
    </row>
    <row r="261" customFormat="false" ht="15" hidden="false" customHeight="false" outlineLevel="0" collapsed="false">
      <c r="A261" s="34" t="str">
        <f aca="false">IF(B261="","",LEFT(B261,3)&amp;"-"&amp;TEXT(COUNTIF(B$11:B261,B261),"00"))</f>
        <v/>
      </c>
      <c r="B261" s="35"/>
      <c r="C261" s="35"/>
      <c r="D261" s="35"/>
      <c r="E261" s="35"/>
      <c r="F261" s="35"/>
      <c r="G261" s="35"/>
      <c r="H261" s="35"/>
      <c r="I261" s="35"/>
      <c r="J261" s="34" t="str">
        <f aca="false">IF(H261="","",H261*IF(I261="",1,I261))</f>
        <v/>
      </c>
      <c r="K261" s="35"/>
      <c r="L261" s="35"/>
      <c r="M261" s="35"/>
      <c r="N261" s="35"/>
      <c r="O261" s="35"/>
      <c r="P261" s="36"/>
      <c r="Q261" s="36"/>
      <c r="R261" s="35"/>
      <c r="S261" s="35"/>
      <c r="T261" s="35"/>
      <c r="U261" s="35"/>
      <c r="V261" s="36"/>
      <c r="W261" s="36"/>
      <c r="X261" s="35"/>
      <c r="Y261" s="35"/>
      <c r="Z261" s="36"/>
      <c r="AA261" s="37"/>
      <c r="AB261" s="38" t="str">
        <f aca="false">IF(OR(AA261="",J261=""),"",AA261*J261)</f>
        <v/>
      </c>
      <c r="AC261" s="35"/>
      <c r="AD261" s="35"/>
      <c r="AE261" s="36"/>
      <c r="AF261" s="34" t="str">
        <f aca="true">IF(OR(D261="",R261="Cancelled"),"",IF(H261="","NO QTY",IF(AND(L261="Buy",E261=""),"NO PART NO",IF(AND(W261&lt;&gt;"",NOT(OR(R261="Received",R261="NSW Purchased")),W261&lt;TODAY()),"OVERDUE",IF(AND(W261&lt;&gt;"",Q261&lt;&gt;"",W261&gt;Q261),"LATE vs REQ",IF(AND(R261="Finalized – Not Purchased",T261=""),"NEED PR",IF(AND(Y261&lt;&gt;"",Y261&lt;J261),"SHORT","")))))))</f>
        <v/>
      </c>
      <c r="AG261" s="35"/>
    </row>
    <row r="262" customFormat="false" ht="15" hidden="false" customHeight="false" outlineLevel="0" collapsed="false">
      <c r="A262" s="34" t="str">
        <f aca="false">IF(B262="","",LEFT(B262,3)&amp;"-"&amp;TEXT(COUNTIF(B$11:B262,B262),"00"))</f>
        <v/>
      </c>
      <c r="B262" s="35"/>
      <c r="C262" s="35"/>
      <c r="D262" s="35"/>
      <c r="E262" s="35"/>
      <c r="F262" s="35"/>
      <c r="G262" s="35"/>
      <c r="H262" s="35"/>
      <c r="I262" s="35"/>
      <c r="J262" s="34" t="str">
        <f aca="false">IF(H262="","",H262*IF(I262="",1,I262))</f>
        <v/>
      </c>
      <c r="K262" s="35"/>
      <c r="L262" s="35"/>
      <c r="M262" s="35"/>
      <c r="N262" s="35"/>
      <c r="O262" s="35"/>
      <c r="P262" s="36"/>
      <c r="Q262" s="36"/>
      <c r="R262" s="35"/>
      <c r="S262" s="35"/>
      <c r="T262" s="35"/>
      <c r="U262" s="35"/>
      <c r="V262" s="36"/>
      <c r="W262" s="36"/>
      <c r="X262" s="35"/>
      <c r="Y262" s="35"/>
      <c r="Z262" s="36"/>
      <c r="AA262" s="37"/>
      <c r="AB262" s="38" t="str">
        <f aca="false">IF(OR(AA262="",J262=""),"",AA262*J262)</f>
        <v/>
      </c>
      <c r="AC262" s="35"/>
      <c r="AD262" s="35"/>
      <c r="AE262" s="36"/>
      <c r="AF262" s="34" t="str">
        <f aca="true">IF(OR(D262="",R262="Cancelled"),"",IF(H262="","NO QTY",IF(AND(L262="Buy",E262=""),"NO PART NO",IF(AND(W262&lt;&gt;"",NOT(OR(R262="Received",R262="NSW Purchased")),W262&lt;TODAY()),"OVERDUE",IF(AND(W262&lt;&gt;"",Q262&lt;&gt;"",W262&gt;Q262),"LATE vs REQ",IF(AND(R262="Finalized – Not Purchased",T262=""),"NEED PR",IF(AND(Y262&lt;&gt;"",Y262&lt;J262),"SHORT","")))))))</f>
        <v/>
      </c>
      <c r="AG262" s="35"/>
    </row>
    <row r="263" customFormat="false" ht="15" hidden="false" customHeight="false" outlineLevel="0" collapsed="false">
      <c r="A263" s="34" t="str">
        <f aca="false">IF(B263="","",LEFT(B263,3)&amp;"-"&amp;TEXT(COUNTIF(B$11:B263,B263),"00"))</f>
        <v/>
      </c>
      <c r="B263" s="35"/>
      <c r="C263" s="35"/>
      <c r="D263" s="35"/>
      <c r="E263" s="35"/>
      <c r="F263" s="35"/>
      <c r="G263" s="35"/>
      <c r="H263" s="35"/>
      <c r="I263" s="35"/>
      <c r="J263" s="34" t="str">
        <f aca="false">IF(H263="","",H263*IF(I263="",1,I263))</f>
        <v/>
      </c>
      <c r="K263" s="35"/>
      <c r="L263" s="35"/>
      <c r="M263" s="35"/>
      <c r="N263" s="35"/>
      <c r="O263" s="35"/>
      <c r="P263" s="36"/>
      <c r="Q263" s="36"/>
      <c r="R263" s="35"/>
      <c r="S263" s="35"/>
      <c r="T263" s="35"/>
      <c r="U263" s="35"/>
      <c r="V263" s="36"/>
      <c r="W263" s="36"/>
      <c r="X263" s="35"/>
      <c r="Y263" s="35"/>
      <c r="Z263" s="36"/>
      <c r="AA263" s="37"/>
      <c r="AB263" s="38" t="str">
        <f aca="false">IF(OR(AA263="",J263=""),"",AA263*J263)</f>
        <v/>
      </c>
      <c r="AC263" s="35"/>
      <c r="AD263" s="35"/>
      <c r="AE263" s="36"/>
      <c r="AF263" s="34" t="str">
        <f aca="true">IF(OR(D263="",R263="Cancelled"),"",IF(H263="","NO QTY",IF(AND(L263="Buy",E263=""),"NO PART NO",IF(AND(W263&lt;&gt;"",NOT(OR(R263="Received",R263="NSW Purchased")),W263&lt;TODAY()),"OVERDUE",IF(AND(W263&lt;&gt;"",Q263&lt;&gt;"",W263&gt;Q263),"LATE vs REQ",IF(AND(R263="Finalized – Not Purchased",T263=""),"NEED PR",IF(AND(Y263&lt;&gt;"",Y263&lt;J263),"SHORT","")))))))</f>
        <v/>
      </c>
      <c r="AG263" s="35"/>
    </row>
    <row r="264" customFormat="false" ht="15" hidden="false" customHeight="false" outlineLevel="0" collapsed="false">
      <c r="A264" s="34" t="str">
        <f aca="false">IF(B264="","",LEFT(B264,3)&amp;"-"&amp;TEXT(COUNTIF(B$11:B264,B264),"00"))</f>
        <v/>
      </c>
      <c r="B264" s="35"/>
      <c r="C264" s="35"/>
      <c r="D264" s="35"/>
      <c r="E264" s="35"/>
      <c r="F264" s="35"/>
      <c r="G264" s="35"/>
      <c r="H264" s="35"/>
      <c r="I264" s="35"/>
      <c r="J264" s="34" t="str">
        <f aca="false">IF(H264="","",H264*IF(I264="",1,I264))</f>
        <v/>
      </c>
      <c r="K264" s="35"/>
      <c r="L264" s="35"/>
      <c r="M264" s="35"/>
      <c r="N264" s="35"/>
      <c r="O264" s="35"/>
      <c r="P264" s="36"/>
      <c r="Q264" s="36"/>
      <c r="R264" s="35"/>
      <c r="S264" s="35"/>
      <c r="T264" s="35"/>
      <c r="U264" s="35"/>
      <c r="V264" s="36"/>
      <c r="W264" s="36"/>
      <c r="X264" s="35"/>
      <c r="Y264" s="35"/>
      <c r="Z264" s="36"/>
      <c r="AA264" s="37"/>
      <c r="AB264" s="38" t="str">
        <f aca="false">IF(OR(AA264="",J264=""),"",AA264*J264)</f>
        <v/>
      </c>
      <c r="AC264" s="35"/>
      <c r="AD264" s="35"/>
      <c r="AE264" s="36"/>
      <c r="AF264" s="34" t="str">
        <f aca="true">IF(OR(D264="",R264="Cancelled"),"",IF(H264="","NO QTY",IF(AND(L264="Buy",E264=""),"NO PART NO",IF(AND(W264&lt;&gt;"",NOT(OR(R264="Received",R264="NSW Purchased")),W264&lt;TODAY()),"OVERDUE",IF(AND(W264&lt;&gt;"",Q264&lt;&gt;"",W264&gt;Q264),"LATE vs REQ",IF(AND(R264="Finalized – Not Purchased",T264=""),"NEED PR",IF(AND(Y264&lt;&gt;"",Y264&lt;J264),"SHORT","")))))))</f>
        <v/>
      </c>
      <c r="AG264" s="35"/>
    </row>
    <row r="265" customFormat="false" ht="15" hidden="false" customHeight="false" outlineLevel="0" collapsed="false">
      <c r="A265" s="34" t="str">
        <f aca="false">IF(B265="","",LEFT(B265,3)&amp;"-"&amp;TEXT(COUNTIF(B$11:B265,B265),"00"))</f>
        <v/>
      </c>
      <c r="B265" s="35"/>
      <c r="C265" s="35"/>
      <c r="D265" s="35"/>
      <c r="E265" s="35"/>
      <c r="F265" s="35"/>
      <c r="G265" s="35"/>
      <c r="H265" s="35"/>
      <c r="I265" s="35"/>
      <c r="J265" s="34" t="str">
        <f aca="false">IF(H265="","",H265*IF(I265="",1,I265))</f>
        <v/>
      </c>
      <c r="K265" s="35"/>
      <c r="L265" s="35"/>
      <c r="M265" s="35"/>
      <c r="N265" s="35"/>
      <c r="O265" s="35"/>
      <c r="P265" s="36"/>
      <c r="Q265" s="36"/>
      <c r="R265" s="35"/>
      <c r="S265" s="35"/>
      <c r="T265" s="35"/>
      <c r="U265" s="35"/>
      <c r="V265" s="36"/>
      <c r="W265" s="36"/>
      <c r="X265" s="35"/>
      <c r="Y265" s="35"/>
      <c r="Z265" s="36"/>
      <c r="AA265" s="37"/>
      <c r="AB265" s="38" t="str">
        <f aca="false">IF(OR(AA265="",J265=""),"",AA265*J265)</f>
        <v/>
      </c>
      <c r="AC265" s="35"/>
      <c r="AD265" s="35"/>
      <c r="AE265" s="36"/>
      <c r="AF265" s="34" t="str">
        <f aca="true">IF(OR(D265="",R265="Cancelled"),"",IF(H265="","NO QTY",IF(AND(L265="Buy",E265=""),"NO PART NO",IF(AND(W265&lt;&gt;"",NOT(OR(R265="Received",R265="NSW Purchased")),W265&lt;TODAY()),"OVERDUE",IF(AND(W265&lt;&gt;"",Q265&lt;&gt;"",W265&gt;Q265),"LATE vs REQ",IF(AND(R265="Finalized – Not Purchased",T265=""),"NEED PR",IF(AND(Y265&lt;&gt;"",Y265&lt;J265),"SHORT","")))))))</f>
        <v/>
      </c>
      <c r="AG265" s="35"/>
    </row>
    <row r="266" customFormat="false" ht="15" hidden="false" customHeight="false" outlineLevel="0" collapsed="false">
      <c r="A266" s="34" t="str">
        <f aca="false">IF(B266="","",LEFT(B266,3)&amp;"-"&amp;TEXT(COUNTIF(B$11:B266,B266),"00"))</f>
        <v/>
      </c>
      <c r="B266" s="35"/>
      <c r="C266" s="35"/>
      <c r="D266" s="35"/>
      <c r="E266" s="35"/>
      <c r="F266" s="35"/>
      <c r="G266" s="35"/>
      <c r="H266" s="35"/>
      <c r="I266" s="35"/>
      <c r="J266" s="34" t="str">
        <f aca="false">IF(H266="","",H266*IF(I266="",1,I266))</f>
        <v/>
      </c>
      <c r="K266" s="35"/>
      <c r="L266" s="35"/>
      <c r="M266" s="35"/>
      <c r="N266" s="35"/>
      <c r="O266" s="35"/>
      <c r="P266" s="36"/>
      <c r="Q266" s="36"/>
      <c r="R266" s="35"/>
      <c r="S266" s="35"/>
      <c r="T266" s="35"/>
      <c r="U266" s="35"/>
      <c r="V266" s="36"/>
      <c r="W266" s="36"/>
      <c r="X266" s="35"/>
      <c r="Y266" s="35"/>
      <c r="Z266" s="36"/>
      <c r="AA266" s="37"/>
      <c r="AB266" s="38" t="str">
        <f aca="false">IF(OR(AA266="",J266=""),"",AA266*J266)</f>
        <v/>
      </c>
      <c r="AC266" s="35"/>
      <c r="AD266" s="35"/>
      <c r="AE266" s="36"/>
      <c r="AF266" s="34" t="str">
        <f aca="true">IF(OR(D266="",R266="Cancelled"),"",IF(H266="","NO QTY",IF(AND(L266="Buy",E266=""),"NO PART NO",IF(AND(W266&lt;&gt;"",NOT(OR(R266="Received",R266="NSW Purchased")),W266&lt;TODAY()),"OVERDUE",IF(AND(W266&lt;&gt;"",Q266&lt;&gt;"",W266&gt;Q266),"LATE vs REQ",IF(AND(R266="Finalized – Not Purchased",T266=""),"NEED PR",IF(AND(Y266&lt;&gt;"",Y266&lt;J266),"SHORT","")))))))</f>
        <v/>
      </c>
      <c r="AG266" s="35"/>
    </row>
    <row r="267" customFormat="false" ht="15" hidden="false" customHeight="false" outlineLevel="0" collapsed="false">
      <c r="A267" s="34" t="str">
        <f aca="false">IF(B267="","",LEFT(B267,3)&amp;"-"&amp;TEXT(COUNTIF(B$11:B267,B267),"00"))</f>
        <v/>
      </c>
      <c r="B267" s="35"/>
      <c r="C267" s="35"/>
      <c r="D267" s="35"/>
      <c r="E267" s="35"/>
      <c r="F267" s="35"/>
      <c r="G267" s="35"/>
      <c r="H267" s="35"/>
      <c r="I267" s="35"/>
      <c r="J267" s="34" t="str">
        <f aca="false">IF(H267="","",H267*IF(I267="",1,I267))</f>
        <v/>
      </c>
      <c r="K267" s="35"/>
      <c r="L267" s="35"/>
      <c r="M267" s="35"/>
      <c r="N267" s="35"/>
      <c r="O267" s="35"/>
      <c r="P267" s="36"/>
      <c r="Q267" s="36"/>
      <c r="R267" s="35"/>
      <c r="S267" s="35"/>
      <c r="T267" s="35"/>
      <c r="U267" s="35"/>
      <c r="V267" s="36"/>
      <c r="W267" s="36"/>
      <c r="X267" s="35"/>
      <c r="Y267" s="35"/>
      <c r="Z267" s="36"/>
      <c r="AA267" s="37"/>
      <c r="AB267" s="38" t="str">
        <f aca="false">IF(OR(AA267="",J267=""),"",AA267*J267)</f>
        <v/>
      </c>
      <c r="AC267" s="35"/>
      <c r="AD267" s="35"/>
      <c r="AE267" s="36"/>
      <c r="AF267" s="34" t="str">
        <f aca="true">IF(OR(D267="",R267="Cancelled"),"",IF(H267="","NO QTY",IF(AND(L267="Buy",E267=""),"NO PART NO",IF(AND(W267&lt;&gt;"",NOT(OR(R267="Received",R267="NSW Purchased")),W267&lt;TODAY()),"OVERDUE",IF(AND(W267&lt;&gt;"",Q267&lt;&gt;"",W267&gt;Q267),"LATE vs REQ",IF(AND(R267="Finalized – Not Purchased",T267=""),"NEED PR",IF(AND(Y267&lt;&gt;"",Y267&lt;J267),"SHORT","")))))))</f>
        <v/>
      </c>
      <c r="AG267" s="35"/>
    </row>
    <row r="268" customFormat="false" ht="15" hidden="false" customHeight="false" outlineLevel="0" collapsed="false">
      <c r="A268" s="34" t="str">
        <f aca="false">IF(B268="","",LEFT(B268,3)&amp;"-"&amp;TEXT(COUNTIF(B$11:B268,B268),"00"))</f>
        <v/>
      </c>
      <c r="B268" s="35"/>
      <c r="C268" s="35"/>
      <c r="D268" s="35"/>
      <c r="E268" s="35"/>
      <c r="F268" s="35"/>
      <c r="G268" s="35"/>
      <c r="H268" s="35"/>
      <c r="I268" s="35"/>
      <c r="J268" s="34" t="str">
        <f aca="false">IF(H268="","",H268*IF(I268="",1,I268))</f>
        <v/>
      </c>
      <c r="K268" s="35"/>
      <c r="L268" s="35"/>
      <c r="M268" s="35"/>
      <c r="N268" s="35"/>
      <c r="O268" s="35"/>
      <c r="P268" s="36"/>
      <c r="Q268" s="36"/>
      <c r="R268" s="35"/>
      <c r="S268" s="35"/>
      <c r="T268" s="35"/>
      <c r="U268" s="35"/>
      <c r="V268" s="36"/>
      <c r="W268" s="36"/>
      <c r="X268" s="35"/>
      <c r="Y268" s="35"/>
      <c r="Z268" s="36"/>
      <c r="AA268" s="37"/>
      <c r="AB268" s="38" t="str">
        <f aca="false">IF(OR(AA268="",J268=""),"",AA268*J268)</f>
        <v/>
      </c>
      <c r="AC268" s="35"/>
      <c r="AD268" s="35"/>
      <c r="AE268" s="36"/>
      <c r="AF268" s="34" t="str">
        <f aca="true">IF(OR(D268="",R268="Cancelled"),"",IF(H268="","NO QTY",IF(AND(L268="Buy",E268=""),"NO PART NO",IF(AND(W268&lt;&gt;"",NOT(OR(R268="Received",R268="NSW Purchased")),W268&lt;TODAY()),"OVERDUE",IF(AND(W268&lt;&gt;"",Q268&lt;&gt;"",W268&gt;Q268),"LATE vs REQ",IF(AND(R268="Finalized – Not Purchased",T268=""),"NEED PR",IF(AND(Y268&lt;&gt;"",Y268&lt;J268),"SHORT","")))))))</f>
        <v/>
      </c>
      <c r="AG268" s="35"/>
    </row>
    <row r="269" customFormat="false" ht="15" hidden="false" customHeight="false" outlineLevel="0" collapsed="false">
      <c r="A269" s="34" t="str">
        <f aca="false">IF(B269="","",LEFT(B269,3)&amp;"-"&amp;TEXT(COUNTIF(B$11:B269,B269),"00"))</f>
        <v/>
      </c>
      <c r="B269" s="35"/>
      <c r="C269" s="35"/>
      <c r="D269" s="35"/>
      <c r="E269" s="35"/>
      <c r="F269" s="35"/>
      <c r="G269" s="35"/>
      <c r="H269" s="35"/>
      <c r="I269" s="35"/>
      <c r="J269" s="34" t="str">
        <f aca="false">IF(H269="","",H269*IF(I269="",1,I269))</f>
        <v/>
      </c>
      <c r="K269" s="35"/>
      <c r="L269" s="35"/>
      <c r="M269" s="35"/>
      <c r="N269" s="35"/>
      <c r="O269" s="35"/>
      <c r="P269" s="36"/>
      <c r="Q269" s="36"/>
      <c r="R269" s="35"/>
      <c r="S269" s="35"/>
      <c r="T269" s="35"/>
      <c r="U269" s="35"/>
      <c r="V269" s="36"/>
      <c r="W269" s="36"/>
      <c r="X269" s="35"/>
      <c r="Y269" s="35"/>
      <c r="Z269" s="36"/>
      <c r="AA269" s="37"/>
      <c r="AB269" s="38" t="str">
        <f aca="false">IF(OR(AA269="",J269=""),"",AA269*J269)</f>
        <v/>
      </c>
      <c r="AC269" s="35"/>
      <c r="AD269" s="35"/>
      <c r="AE269" s="36"/>
      <c r="AF269" s="34" t="str">
        <f aca="true">IF(OR(D269="",R269="Cancelled"),"",IF(H269="","NO QTY",IF(AND(L269="Buy",E269=""),"NO PART NO",IF(AND(W269&lt;&gt;"",NOT(OR(R269="Received",R269="NSW Purchased")),W269&lt;TODAY()),"OVERDUE",IF(AND(W269&lt;&gt;"",Q269&lt;&gt;"",W269&gt;Q269),"LATE vs REQ",IF(AND(R269="Finalized – Not Purchased",T269=""),"NEED PR",IF(AND(Y269&lt;&gt;"",Y269&lt;J269),"SHORT","")))))))</f>
        <v/>
      </c>
      <c r="AG269" s="35"/>
    </row>
    <row r="270" customFormat="false" ht="15" hidden="false" customHeight="false" outlineLevel="0" collapsed="false">
      <c r="A270" s="34" t="str">
        <f aca="false">IF(B270="","",LEFT(B270,3)&amp;"-"&amp;TEXT(COUNTIF(B$11:B270,B270),"00"))</f>
        <v/>
      </c>
      <c r="B270" s="35"/>
      <c r="C270" s="35"/>
      <c r="D270" s="35"/>
      <c r="E270" s="35"/>
      <c r="F270" s="35"/>
      <c r="G270" s="35"/>
      <c r="H270" s="35"/>
      <c r="I270" s="35"/>
      <c r="J270" s="34" t="str">
        <f aca="false">IF(H270="","",H270*IF(I270="",1,I270))</f>
        <v/>
      </c>
      <c r="K270" s="35"/>
      <c r="L270" s="35"/>
      <c r="M270" s="35"/>
      <c r="N270" s="35"/>
      <c r="O270" s="35"/>
      <c r="P270" s="36"/>
      <c r="Q270" s="36"/>
      <c r="R270" s="35"/>
      <c r="S270" s="35"/>
      <c r="T270" s="35"/>
      <c r="U270" s="35"/>
      <c r="V270" s="36"/>
      <c r="W270" s="36"/>
      <c r="X270" s="35"/>
      <c r="Y270" s="35"/>
      <c r="Z270" s="36"/>
      <c r="AA270" s="37"/>
      <c r="AB270" s="38" t="str">
        <f aca="false">IF(OR(AA270="",J270=""),"",AA270*J270)</f>
        <v/>
      </c>
      <c r="AC270" s="35"/>
      <c r="AD270" s="35"/>
      <c r="AE270" s="36"/>
      <c r="AF270" s="34" t="str">
        <f aca="true">IF(OR(D270="",R270="Cancelled"),"",IF(H270="","NO QTY",IF(AND(L270="Buy",E270=""),"NO PART NO",IF(AND(W270&lt;&gt;"",NOT(OR(R270="Received",R270="NSW Purchased")),W270&lt;TODAY()),"OVERDUE",IF(AND(W270&lt;&gt;"",Q270&lt;&gt;"",W270&gt;Q270),"LATE vs REQ",IF(AND(R270="Finalized – Not Purchased",T270=""),"NEED PR",IF(AND(Y270&lt;&gt;"",Y270&lt;J270),"SHORT","")))))))</f>
        <v/>
      </c>
      <c r="AG270" s="35"/>
    </row>
    <row r="271" customFormat="false" ht="15" hidden="false" customHeight="false" outlineLevel="0" collapsed="false">
      <c r="A271" s="34" t="str">
        <f aca="false">IF(B271="","",LEFT(B271,3)&amp;"-"&amp;TEXT(COUNTIF(B$11:B271,B271),"00"))</f>
        <v/>
      </c>
      <c r="B271" s="35"/>
      <c r="C271" s="35"/>
      <c r="D271" s="35"/>
      <c r="E271" s="35"/>
      <c r="F271" s="35"/>
      <c r="G271" s="35"/>
      <c r="H271" s="35"/>
      <c r="I271" s="35"/>
      <c r="J271" s="34" t="str">
        <f aca="false">IF(H271="","",H271*IF(I271="",1,I271))</f>
        <v/>
      </c>
      <c r="K271" s="35"/>
      <c r="L271" s="35"/>
      <c r="M271" s="35"/>
      <c r="N271" s="35"/>
      <c r="O271" s="35"/>
      <c r="P271" s="36"/>
      <c r="Q271" s="36"/>
      <c r="R271" s="35"/>
      <c r="S271" s="35"/>
      <c r="T271" s="35"/>
      <c r="U271" s="35"/>
      <c r="V271" s="36"/>
      <c r="W271" s="36"/>
      <c r="X271" s="35"/>
      <c r="Y271" s="35"/>
      <c r="Z271" s="36"/>
      <c r="AA271" s="37"/>
      <c r="AB271" s="38" t="str">
        <f aca="false">IF(OR(AA271="",J271=""),"",AA271*J271)</f>
        <v/>
      </c>
      <c r="AC271" s="35"/>
      <c r="AD271" s="35"/>
      <c r="AE271" s="36"/>
      <c r="AF271" s="34" t="str">
        <f aca="true">IF(OR(D271="",R271="Cancelled"),"",IF(H271="","NO QTY",IF(AND(L271="Buy",E271=""),"NO PART NO",IF(AND(W271&lt;&gt;"",NOT(OR(R271="Received",R271="NSW Purchased")),W271&lt;TODAY()),"OVERDUE",IF(AND(W271&lt;&gt;"",Q271&lt;&gt;"",W271&gt;Q271),"LATE vs REQ",IF(AND(R271="Finalized – Not Purchased",T271=""),"NEED PR",IF(AND(Y271&lt;&gt;"",Y271&lt;J271),"SHORT","")))))))</f>
        <v/>
      </c>
      <c r="AG271" s="35"/>
    </row>
    <row r="272" customFormat="false" ht="15" hidden="false" customHeight="false" outlineLevel="0" collapsed="false">
      <c r="A272" s="34" t="str">
        <f aca="false">IF(B272="","",LEFT(B272,3)&amp;"-"&amp;TEXT(COUNTIF(B$11:B272,B272),"00"))</f>
        <v/>
      </c>
      <c r="B272" s="35"/>
      <c r="C272" s="35"/>
      <c r="D272" s="35"/>
      <c r="E272" s="35"/>
      <c r="F272" s="35"/>
      <c r="G272" s="35"/>
      <c r="H272" s="35"/>
      <c r="I272" s="35"/>
      <c r="J272" s="34" t="str">
        <f aca="false">IF(H272="","",H272*IF(I272="",1,I272))</f>
        <v/>
      </c>
      <c r="K272" s="35"/>
      <c r="L272" s="35"/>
      <c r="M272" s="35"/>
      <c r="N272" s="35"/>
      <c r="O272" s="35"/>
      <c r="P272" s="36"/>
      <c r="Q272" s="36"/>
      <c r="R272" s="35"/>
      <c r="S272" s="35"/>
      <c r="T272" s="35"/>
      <c r="U272" s="35"/>
      <c r="V272" s="36"/>
      <c r="W272" s="36"/>
      <c r="X272" s="35"/>
      <c r="Y272" s="35"/>
      <c r="Z272" s="36"/>
      <c r="AA272" s="37"/>
      <c r="AB272" s="38" t="str">
        <f aca="false">IF(OR(AA272="",J272=""),"",AA272*J272)</f>
        <v/>
      </c>
      <c r="AC272" s="35"/>
      <c r="AD272" s="35"/>
      <c r="AE272" s="36"/>
      <c r="AF272" s="34" t="str">
        <f aca="true">IF(OR(D272="",R272="Cancelled"),"",IF(H272="","NO QTY",IF(AND(L272="Buy",E272=""),"NO PART NO",IF(AND(W272&lt;&gt;"",NOT(OR(R272="Received",R272="NSW Purchased")),W272&lt;TODAY()),"OVERDUE",IF(AND(W272&lt;&gt;"",Q272&lt;&gt;"",W272&gt;Q272),"LATE vs REQ",IF(AND(R272="Finalized – Not Purchased",T272=""),"NEED PR",IF(AND(Y272&lt;&gt;"",Y272&lt;J272),"SHORT","")))))))</f>
        <v/>
      </c>
      <c r="AG272" s="35"/>
    </row>
    <row r="273" customFormat="false" ht="15" hidden="false" customHeight="false" outlineLevel="0" collapsed="false">
      <c r="A273" s="34" t="str">
        <f aca="false">IF(B273="","",LEFT(B273,3)&amp;"-"&amp;TEXT(COUNTIF(B$11:B273,B273),"00"))</f>
        <v/>
      </c>
      <c r="B273" s="35"/>
      <c r="C273" s="35"/>
      <c r="D273" s="35"/>
      <c r="E273" s="35"/>
      <c r="F273" s="35"/>
      <c r="G273" s="35"/>
      <c r="H273" s="35"/>
      <c r="I273" s="35"/>
      <c r="J273" s="34" t="str">
        <f aca="false">IF(H273="","",H273*IF(I273="",1,I273))</f>
        <v/>
      </c>
      <c r="K273" s="35"/>
      <c r="L273" s="35"/>
      <c r="M273" s="35"/>
      <c r="N273" s="35"/>
      <c r="O273" s="35"/>
      <c r="P273" s="36"/>
      <c r="Q273" s="36"/>
      <c r="R273" s="35"/>
      <c r="S273" s="35"/>
      <c r="T273" s="35"/>
      <c r="U273" s="35"/>
      <c r="V273" s="36"/>
      <c r="W273" s="36"/>
      <c r="X273" s="35"/>
      <c r="Y273" s="35"/>
      <c r="Z273" s="36"/>
      <c r="AA273" s="37"/>
      <c r="AB273" s="38" t="str">
        <f aca="false">IF(OR(AA273="",J273=""),"",AA273*J273)</f>
        <v/>
      </c>
      <c r="AC273" s="35"/>
      <c r="AD273" s="35"/>
      <c r="AE273" s="36"/>
      <c r="AF273" s="34" t="str">
        <f aca="true">IF(OR(D273="",R273="Cancelled"),"",IF(H273="","NO QTY",IF(AND(L273="Buy",E273=""),"NO PART NO",IF(AND(W273&lt;&gt;"",NOT(OR(R273="Received",R273="NSW Purchased")),W273&lt;TODAY()),"OVERDUE",IF(AND(W273&lt;&gt;"",Q273&lt;&gt;"",W273&gt;Q273),"LATE vs REQ",IF(AND(R273="Finalized – Not Purchased",T273=""),"NEED PR",IF(AND(Y273&lt;&gt;"",Y273&lt;J273),"SHORT","")))))))</f>
        <v/>
      </c>
      <c r="AG273" s="35"/>
    </row>
    <row r="274" customFormat="false" ht="15" hidden="false" customHeight="false" outlineLevel="0" collapsed="false">
      <c r="A274" s="34" t="str">
        <f aca="false">IF(B274="","",LEFT(B274,3)&amp;"-"&amp;TEXT(COUNTIF(B$11:B274,B274),"00"))</f>
        <v/>
      </c>
      <c r="B274" s="35"/>
      <c r="C274" s="35"/>
      <c r="D274" s="35"/>
      <c r="E274" s="35"/>
      <c r="F274" s="35"/>
      <c r="G274" s="35"/>
      <c r="H274" s="35"/>
      <c r="I274" s="35"/>
      <c r="J274" s="34" t="str">
        <f aca="false">IF(H274="","",H274*IF(I274="",1,I274))</f>
        <v/>
      </c>
      <c r="K274" s="35"/>
      <c r="L274" s="35"/>
      <c r="M274" s="35"/>
      <c r="N274" s="35"/>
      <c r="O274" s="35"/>
      <c r="P274" s="36"/>
      <c r="Q274" s="36"/>
      <c r="R274" s="35"/>
      <c r="S274" s="35"/>
      <c r="T274" s="35"/>
      <c r="U274" s="35"/>
      <c r="V274" s="36"/>
      <c r="W274" s="36"/>
      <c r="X274" s="35"/>
      <c r="Y274" s="35"/>
      <c r="Z274" s="36"/>
      <c r="AA274" s="37"/>
      <c r="AB274" s="38" t="str">
        <f aca="false">IF(OR(AA274="",J274=""),"",AA274*J274)</f>
        <v/>
      </c>
      <c r="AC274" s="35"/>
      <c r="AD274" s="35"/>
      <c r="AE274" s="36"/>
      <c r="AF274" s="34" t="str">
        <f aca="true">IF(OR(D274="",R274="Cancelled"),"",IF(H274="","NO QTY",IF(AND(L274="Buy",E274=""),"NO PART NO",IF(AND(W274&lt;&gt;"",NOT(OR(R274="Received",R274="NSW Purchased")),W274&lt;TODAY()),"OVERDUE",IF(AND(W274&lt;&gt;"",Q274&lt;&gt;"",W274&gt;Q274),"LATE vs REQ",IF(AND(R274="Finalized – Not Purchased",T274=""),"NEED PR",IF(AND(Y274&lt;&gt;"",Y274&lt;J274),"SHORT","")))))))</f>
        <v/>
      </c>
      <c r="AG274" s="35"/>
    </row>
    <row r="275" customFormat="false" ht="15" hidden="false" customHeight="false" outlineLevel="0" collapsed="false">
      <c r="A275" s="34" t="str">
        <f aca="false">IF(B275="","",LEFT(B275,3)&amp;"-"&amp;TEXT(COUNTIF(B$11:B275,B275),"00"))</f>
        <v/>
      </c>
      <c r="B275" s="35"/>
      <c r="C275" s="35"/>
      <c r="D275" s="35"/>
      <c r="E275" s="35"/>
      <c r="F275" s="35"/>
      <c r="G275" s="35"/>
      <c r="H275" s="35"/>
      <c r="I275" s="35"/>
      <c r="J275" s="34" t="str">
        <f aca="false">IF(H275="","",H275*IF(I275="",1,I275))</f>
        <v/>
      </c>
      <c r="K275" s="35"/>
      <c r="L275" s="35"/>
      <c r="M275" s="35"/>
      <c r="N275" s="35"/>
      <c r="O275" s="35"/>
      <c r="P275" s="36"/>
      <c r="Q275" s="36"/>
      <c r="R275" s="35"/>
      <c r="S275" s="35"/>
      <c r="T275" s="35"/>
      <c r="U275" s="35"/>
      <c r="V275" s="36"/>
      <c r="W275" s="36"/>
      <c r="X275" s="35"/>
      <c r="Y275" s="35"/>
      <c r="Z275" s="36"/>
      <c r="AA275" s="37"/>
      <c r="AB275" s="38" t="str">
        <f aca="false">IF(OR(AA275="",J275=""),"",AA275*J275)</f>
        <v/>
      </c>
      <c r="AC275" s="35"/>
      <c r="AD275" s="35"/>
      <c r="AE275" s="36"/>
      <c r="AF275" s="34" t="str">
        <f aca="true">IF(OR(D275="",R275="Cancelled"),"",IF(H275="","NO QTY",IF(AND(L275="Buy",E275=""),"NO PART NO",IF(AND(W275&lt;&gt;"",NOT(OR(R275="Received",R275="NSW Purchased")),W275&lt;TODAY()),"OVERDUE",IF(AND(W275&lt;&gt;"",Q275&lt;&gt;"",W275&gt;Q275),"LATE vs REQ",IF(AND(R275="Finalized – Not Purchased",T275=""),"NEED PR",IF(AND(Y275&lt;&gt;"",Y275&lt;J275),"SHORT","")))))))</f>
        <v/>
      </c>
      <c r="AG275" s="35"/>
    </row>
    <row r="276" customFormat="false" ht="15" hidden="false" customHeight="false" outlineLevel="0" collapsed="false">
      <c r="A276" s="34" t="str">
        <f aca="false">IF(B276="","",LEFT(B276,3)&amp;"-"&amp;TEXT(COUNTIF(B$11:B276,B276),"00"))</f>
        <v/>
      </c>
      <c r="B276" s="35"/>
      <c r="C276" s="35"/>
      <c r="D276" s="35"/>
      <c r="E276" s="35"/>
      <c r="F276" s="35"/>
      <c r="G276" s="35"/>
      <c r="H276" s="35"/>
      <c r="I276" s="35"/>
      <c r="J276" s="34" t="str">
        <f aca="false">IF(H276="","",H276*IF(I276="",1,I276))</f>
        <v/>
      </c>
      <c r="K276" s="35"/>
      <c r="L276" s="35"/>
      <c r="M276" s="35"/>
      <c r="N276" s="35"/>
      <c r="O276" s="35"/>
      <c r="P276" s="36"/>
      <c r="Q276" s="36"/>
      <c r="R276" s="35"/>
      <c r="S276" s="35"/>
      <c r="T276" s="35"/>
      <c r="U276" s="35"/>
      <c r="V276" s="36"/>
      <c r="W276" s="36"/>
      <c r="X276" s="35"/>
      <c r="Y276" s="35"/>
      <c r="Z276" s="36"/>
      <c r="AA276" s="37"/>
      <c r="AB276" s="38" t="str">
        <f aca="false">IF(OR(AA276="",J276=""),"",AA276*J276)</f>
        <v/>
      </c>
      <c r="AC276" s="35"/>
      <c r="AD276" s="35"/>
      <c r="AE276" s="36"/>
      <c r="AF276" s="34" t="str">
        <f aca="true">IF(OR(D276="",R276="Cancelled"),"",IF(H276="","NO QTY",IF(AND(L276="Buy",E276=""),"NO PART NO",IF(AND(W276&lt;&gt;"",NOT(OR(R276="Received",R276="NSW Purchased")),W276&lt;TODAY()),"OVERDUE",IF(AND(W276&lt;&gt;"",Q276&lt;&gt;"",W276&gt;Q276),"LATE vs REQ",IF(AND(R276="Finalized – Not Purchased",T276=""),"NEED PR",IF(AND(Y276&lt;&gt;"",Y276&lt;J276),"SHORT","")))))))</f>
        <v/>
      </c>
      <c r="AG276" s="35"/>
    </row>
    <row r="277" customFormat="false" ht="15" hidden="false" customHeight="false" outlineLevel="0" collapsed="false">
      <c r="A277" s="34" t="str">
        <f aca="false">IF(B277="","",LEFT(B277,3)&amp;"-"&amp;TEXT(COUNTIF(B$11:B277,B277),"00"))</f>
        <v/>
      </c>
      <c r="B277" s="35"/>
      <c r="C277" s="35"/>
      <c r="D277" s="35"/>
      <c r="E277" s="35"/>
      <c r="F277" s="35"/>
      <c r="G277" s="35"/>
      <c r="H277" s="35"/>
      <c r="I277" s="35"/>
      <c r="J277" s="34" t="str">
        <f aca="false">IF(H277="","",H277*IF(I277="",1,I277))</f>
        <v/>
      </c>
      <c r="K277" s="35"/>
      <c r="L277" s="35"/>
      <c r="M277" s="35"/>
      <c r="N277" s="35"/>
      <c r="O277" s="35"/>
      <c r="P277" s="36"/>
      <c r="Q277" s="36"/>
      <c r="R277" s="35"/>
      <c r="S277" s="35"/>
      <c r="T277" s="35"/>
      <c r="U277" s="35"/>
      <c r="V277" s="36"/>
      <c r="W277" s="36"/>
      <c r="X277" s="35"/>
      <c r="Y277" s="35"/>
      <c r="Z277" s="36"/>
      <c r="AA277" s="37"/>
      <c r="AB277" s="38" t="str">
        <f aca="false">IF(OR(AA277="",J277=""),"",AA277*J277)</f>
        <v/>
      </c>
      <c r="AC277" s="35"/>
      <c r="AD277" s="35"/>
      <c r="AE277" s="36"/>
      <c r="AF277" s="34" t="str">
        <f aca="true">IF(OR(D277="",R277="Cancelled"),"",IF(H277="","NO QTY",IF(AND(L277="Buy",E277=""),"NO PART NO",IF(AND(W277&lt;&gt;"",NOT(OR(R277="Received",R277="NSW Purchased")),W277&lt;TODAY()),"OVERDUE",IF(AND(W277&lt;&gt;"",Q277&lt;&gt;"",W277&gt;Q277),"LATE vs REQ",IF(AND(R277="Finalized – Not Purchased",T277=""),"NEED PR",IF(AND(Y277&lt;&gt;"",Y277&lt;J277),"SHORT","")))))))</f>
        <v/>
      </c>
      <c r="AG277" s="35"/>
    </row>
    <row r="278" customFormat="false" ht="15" hidden="false" customHeight="false" outlineLevel="0" collapsed="false">
      <c r="A278" s="34" t="str">
        <f aca="false">IF(B278="","",LEFT(B278,3)&amp;"-"&amp;TEXT(COUNTIF(B$11:B278,B278),"00"))</f>
        <v/>
      </c>
      <c r="B278" s="35"/>
      <c r="C278" s="35"/>
      <c r="D278" s="35"/>
      <c r="E278" s="35"/>
      <c r="F278" s="35"/>
      <c r="G278" s="35"/>
      <c r="H278" s="35"/>
      <c r="I278" s="35"/>
      <c r="J278" s="34" t="str">
        <f aca="false">IF(H278="","",H278*IF(I278="",1,I278))</f>
        <v/>
      </c>
      <c r="K278" s="35"/>
      <c r="L278" s="35"/>
      <c r="M278" s="35"/>
      <c r="N278" s="35"/>
      <c r="O278" s="35"/>
      <c r="P278" s="36"/>
      <c r="Q278" s="36"/>
      <c r="R278" s="35"/>
      <c r="S278" s="35"/>
      <c r="T278" s="35"/>
      <c r="U278" s="35"/>
      <c r="V278" s="36"/>
      <c r="W278" s="36"/>
      <c r="X278" s="35"/>
      <c r="Y278" s="35"/>
      <c r="Z278" s="36"/>
      <c r="AA278" s="37"/>
      <c r="AB278" s="38" t="str">
        <f aca="false">IF(OR(AA278="",J278=""),"",AA278*J278)</f>
        <v/>
      </c>
      <c r="AC278" s="35"/>
      <c r="AD278" s="35"/>
      <c r="AE278" s="36"/>
      <c r="AF278" s="34" t="str">
        <f aca="true">IF(OR(D278="",R278="Cancelled"),"",IF(H278="","NO QTY",IF(AND(L278="Buy",E278=""),"NO PART NO",IF(AND(W278&lt;&gt;"",NOT(OR(R278="Received",R278="NSW Purchased")),W278&lt;TODAY()),"OVERDUE",IF(AND(W278&lt;&gt;"",Q278&lt;&gt;"",W278&gt;Q278),"LATE vs REQ",IF(AND(R278="Finalized – Not Purchased",T278=""),"NEED PR",IF(AND(Y278&lt;&gt;"",Y278&lt;J278),"SHORT","")))))))</f>
        <v/>
      </c>
      <c r="AG278" s="35"/>
    </row>
    <row r="279" customFormat="false" ht="15" hidden="false" customHeight="false" outlineLevel="0" collapsed="false">
      <c r="A279" s="34" t="str">
        <f aca="false">IF(B279="","",LEFT(B279,3)&amp;"-"&amp;TEXT(COUNTIF(B$11:B279,B279),"00"))</f>
        <v/>
      </c>
      <c r="B279" s="35"/>
      <c r="C279" s="35"/>
      <c r="D279" s="35"/>
      <c r="E279" s="35"/>
      <c r="F279" s="35"/>
      <c r="G279" s="35"/>
      <c r="H279" s="35"/>
      <c r="I279" s="35"/>
      <c r="J279" s="34" t="str">
        <f aca="false">IF(H279="","",H279*IF(I279="",1,I279))</f>
        <v/>
      </c>
      <c r="K279" s="35"/>
      <c r="L279" s="35"/>
      <c r="M279" s="35"/>
      <c r="N279" s="35"/>
      <c r="O279" s="35"/>
      <c r="P279" s="36"/>
      <c r="Q279" s="36"/>
      <c r="R279" s="35"/>
      <c r="S279" s="35"/>
      <c r="T279" s="35"/>
      <c r="U279" s="35"/>
      <c r="V279" s="36"/>
      <c r="W279" s="36"/>
      <c r="X279" s="35"/>
      <c r="Y279" s="35"/>
      <c r="Z279" s="36"/>
      <c r="AA279" s="37"/>
      <c r="AB279" s="38" t="str">
        <f aca="false">IF(OR(AA279="",J279=""),"",AA279*J279)</f>
        <v/>
      </c>
      <c r="AC279" s="35"/>
      <c r="AD279" s="35"/>
      <c r="AE279" s="36"/>
      <c r="AF279" s="34" t="str">
        <f aca="true">IF(OR(D279="",R279="Cancelled"),"",IF(H279="","NO QTY",IF(AND(L279="Buy",E279=""),"NO PART NO",IF(AND(W279&lt;&gt;"",NOT(OR(R279="Received",R279="NSW Purchased")),W279&lt;TODAY()),"OVERDUE",IF(AND(W279&lt;&gt;"",Q279&lt;&gt;"",W279&gt;Q279),"LATE vs REQ",IF(AND(R279="Finalized – Not Purchased",T279=""),"NEED PR",IF(AND(Y279&lt;&gt;"",Y279&lt;J279),"SHORT","")))))))</f>
        <v/>
      </c>
      <c r="AG279" s="35"/>
    </row>
    <row r="280" customFormat="false" ht="15" hidden="false" customHeight="false" outlineLevel="0" collapsed="false">
      <c r="A280" s="34" t="str">
        <f aca="false">IF(B280="","",LEFT(B280,3)&amp;"-"&amp;TEXT(COUNTIF(B$11:B280,B280),"00"))</f>
        <v/>
      </c>
      <c r="B280" s="35"/>
      <c r="C280" s="35"/>
      <c r="D280" s="35"/>
      <c r="E280" s="35"/>
      <c r="F280" s="35"/>
      <c r="G280" s="35"/>
      <c r="H280" s="35"/>
      <c r="I280" s="35"/>
      <c r="J280" s="34" t="str">
        <f aca="false">IF(H280="","",H280*IF(I280="",1,I280))</f>
        <v/>
      </c>
      <c r="K280" s="35"/>
      <c r="L280" s="35"/>
      <c r="M280" s="35"/>
      <c r="N280" s="35"/>
      <c r="O280" s="35"/>
      <c r="P280" s="36"/>
      <c r="Q280" s="36"/>
      <c r="R280" s="35"/>
      <c r="S280" s="35"/>
      <c r="T280" s="35"/>
      <c r="U280" s="35"/>
      <c r="V280" s="36"/>
      <c r="W280" s="36"/>
      <c r="X280" s="35"/>
      <c r="Y280" s="35"/>
      <c r="Z280" s="36"/>
      <c r="AA280" s="37"/>
      <c r="AB280" s="38" t="str">
        <f aca="false">IF(OR(AA280="",J280=""),"",AA280*J280)</f>
        <v/>
      </c>
      <c r="AC280" s="35"/>
      <c r="AD280" s="35"/>
      <c r="AE280" s="36"/>
      <c r="AF280" s="34" t="str">
        <f aca="true">IF(OR(D280="",R280="Cancelled"),"",IF(H280="","NO QTY",IF(AND(L280="Buy",E280=""),"NO PART NO",IF(AND(W280&lt;&gt;"",NOT(OR(R280="Received",R280="NSW Purchased")),W280&lt;TODAY()),"OVERDUE",IF(AND(W280&lt;&gt;"",Q280&lt;&gt;"",W280&gt;Q280),"LATE vs REQ",IF(AND(R280="Finalized – Not Purchased",T280=""),"NEED PR",IF(AND(Y280&lt;&gt;"",Y280&lt;J280),"SHORT","")))))))</f>
        <v/>
      </c>
      <c r="AG280" s="35"/>
    </row>
    <row r="281" customFormat="false" ht="15" hidden="false" customHeight="false" outlineLevel="0" collapsed="false">
      <c r="A281" s="34" t="str">
        <f aca="false">IF(B281="","",LEFT(B281,3)&amp;"-"&amp;TEXT(COUNTIF(B$11:B281,B281),"00"))</f>
        <v/>
      </c>
      <c r="B281" s="35"/>
      <c r="C281" s="35"/>
      <c r="D281" s="35"/>
      <c r="E281" s="35"/>
      <c r="F281" s="35"/>
      <c r="G281" s="35"/>
      <c r="H281" s="35"/>
      <c r="I281" s="35"/>
      <c r="J281" s="34" t="str">
        <f aca="false">IF(H281="","",H281*IF(I281="",1,I281))</f>
        <v/>
      </c>
      <c r="K281" s="35"/>
      <c r="L281" s="35"/>
      <c r="M281" s="35"/>
      <c r="N281" s="35"/>
      <c r="O281" s="35"/>
      <c r="P281" s="36"/>
      <c r="Q281" s="36"/>
      <c r="R281" s="35"/>
      <c r="S281" s="35"/>
      <c r="T281" s="35"/>
      <c r="U281" s="35"/>
      <c r="V281" s="36"/>
      <c r="W281" s="36"/>
      <c r="X281" s="35"/>
      <c r="Y281" s="35"/>
      <c r="Z281" s="36"/>
      <c r="AA281" s="37"/>
      <c r="AB281" s="38" t="str">
        <f aca="false">IF(OR(AA281="",J281=""),"",AA281*J281)</f>
        <v/>
      </c>
      <c r="AC281" s="35"/>
      <c r="AD281" s="35"/>
      <c r="AE281" s="36"/>
      <c r="AF281" s="34" t="str">
        <f aca="true">IF(OR(D281="",R281="Cancelled"),"",IF(H281="","NO QTY",IF(AND(L281="Buy",E281=""),"NO PART NO",IF(AND(W281&lt;&gt;"",NOT(OR(R281="Received",R281="NSW Purchased")),W281&lt;TODAY()),"OVERDUE",IF(AND(W281&lt;&gt;"",Q281&lt;&gt;"",W281&gt;Q281),"LATE vs REQ",IF(AND(R281="Finalized – Not Purchased",T281=""),"NEED PR",IF(AND(Y281&lt;&gt;"",Y281&lt;J281),"SHORT","")))))))</f>
        <v/>
      </c>
      <c r="AG281" s="35"/>
    </row>
    <row r="282" customFormat="false" ht="15" hidden="false" customHeight="false" outlineLevel="0" collapsed="false">
      <c r="A282" s="34" t="str">
        <f aca="false">IF(B282="","",LEFT(B282,3)&amp;"-"&amp;TEXT(COUNTIF(B$11:B282,B282),"00"))</f>
        <v/>
      </c>
      <c r="B282" s="35"/>
      <c r="C282" s="35"/>
      <c r="D282" s="35"/>
      <c r="E282" s="35"/>
      <c r="F282" s="35"/>
      <c r="G282" s="35"/>
      <c r="H282" s="35"/>
      <c r="I282" s="35"/>
      <c r="J282" s="34" t="str">
        <f aca="false">IF(H282="","",H282*IF(I282="",1,I282))</f>
        <v/>
      </c>
      <c r="K282" s="35"/>
      <c r="L282" s="35"/>
      <c r="M282" s="35"/>
      <c r="N282" s="35"/>
      <c r="O282" s="35"/>
      <c r="P282" s="36"/>
      <c r="Q282" s="36"/>
      <c r="R282" s="35"/>
      <c r="S282" s="35"/>
      <c r="T282" s="35"/>
      <c r="U282" s="35"/>
      <c r="V282" s="36"/>
      <c r="W282" s="36"/>
      <c r="X282" s="35"/>
      <c r="Y282" s="35"/>
      <c r="Z282" s="36"/>
      <c r="AA282" s="37"/>
      <c r="AB282" s="38" t="str">
        <f aca="false">IF(OR(AA282="",J282=""),"",AA282*J282)</f>
        <v/>
      </c>
      <c r="AC282" s="35"/>
      <c r="AD282" s="35"/>
      <c r="AE282" s="36"/>
      <c r="AF282" s="34" t="str">
        <f aca="true">IF(OR(D282="",R282="Cancelled"),"",IF(H282="","NO QTY",IF(AND(L282="Buy",E282=""),"NO PART NO",IF(AND(W282&lt;&gt;"",NOT(OR(R282="Received",R282="NSW Purchased")),W282&lt;TODAY()),"OVERDUE",IF(AND(W282&lt;&gt;"",Q282&lt;&gt;"",W282&gt;Q282),"LATE vs REQ",IF(AND(R282="Finalized – Not Purchased",T282=""),"NEED PR",IF(AND(Y282&lt;&gt;"",Y282&lt;J282),"SHORT","")))))))</f>
        <v/>
      </c>
      <c r="AG282" s="35"/>
    </row>
    <row r="283" customFormat="false" ht="15" hidden="false" customHeight="false" outlineLevel="0" collapsed="false">
      <c r="A283" s="34" t="str">
        <f aca="false">IF(B283="","",LEFT(B283,3)&amp;"-"&amp;TEXT(COUNTIF(B$11:B283,B283),"00"))</f>
        <v/>
      </c>
      <c r="B283" s="35"/>
      <c r="C283" s="35"/>
      <c r="D283" s="35"/>
      <c r="E283" s="35"/>
      <c r="F283" s="35"/>
      <c r="G283" s="35"/>
      <c r="H283" s="35"/>
      <c r="I283" s="35"/>
      <c r="J283" s="34" t="str">
        <f aca="false">IF(H283="","",H283*IF(I283="",1,I283))</f>
        <v/>
      </c>
      <c r="K283" s="35"/>
      <c r="L283" s="35"/>
      <c r="M283" s="35"/>
      <c r="N283" s="35"/>
      <c r="O283" s="35"/>
      <c r="P283" s="36"/>
      <c r="Q283" s="36"/>
      <c r="R283" s="35"/>
      <c r="S283" s="35"/>
      <c r="T283" s="35"/>
      <c r="U283" s="35"/>
      <c r="V283" s="36"/>
      <c r="W283" s="36"/>
      <c r="X283" s="35"/>
      <c r="Y283" s="35"/>
      <c r="Z283" s="36"/>
      <c r="AA283" s="37"/>
      <c r="AB283" s="38" t="str">
        <f aca="false">IF(OR(AA283="",J283=""),"",AA283*J283)</f>
        <v/>
      </c>
      <c r="AC283" s="35"/>
      <c r="AD283" s="35"/>
      <c r="AE283" s="36"/>
      <c r="AF283" s="34" t="str">
        <f aca="true">IF(OR(D283="",R283="Cancelled"),"",IF(H283="","NO QTY",IF(AND(L283="Buy",E283=""),"NO PART NO",IF(AND(W283&lt;&gt;"",NOT(OR(R283="Received",R283="NSW Purchased")),W283&lt;TODAY()),"OVERDUE",IF(AND(W283&lt;&gt;"",Q283&lt;&gt;"",W283&gt;Q283),"LATE vs REQ",IF(AND(R283="Finalized – Not Purchased",T283=""),"NEED PR",IF(AND(Y283&lt;&gt;"",Y283&lt;J283),"SHORT","")))))))</f>
        <v/>
      </c>
      <c r="AG283" s="35"/>
    </row>
    <row r="284" customFormat="false" ht="15" hidden="false" customHeight="false" outlineLevel="0" collapsed="false">
      <c r="A284" s="34" t="str">
        <f aca="false">IF(B284="","",LEFT(B284,3)&amp;"-"&amp;TEXT(COUNTIF(B$11:B284,B284),"00"))</f>
        <v/>
      </c>
      <c r="B284" s="35"/>
      <c r="C284" s="35"/>
      <c r="D284" s="35"/>
      <c r="E284" s="35"/>
      <c r="F284" s="35"/>
      <c r="G284" s="35"/>
      <c r="H284" s="35"/>
      <c r="I284" s="35"/>
      <c r="J284" s="34" t="str">
        <f aca="false">IF(H284="","",H284*IF(I284="",1,I284))</f>
        <v/>
      </c>
      <c r="K284" s="35"/>
      <c r="L284" s="35"/>
      <c r="M284" s="35"/>
      <c r="N284" s="35"/>
      <c r="O284" s="35"/>
      <c r="P284" s="36"/>
      <c r="Q284" s="36"/>
      <c r="R284" s="35"/>
      <c r="S284" s="35"/>
      <c r="T284" s="35"/>
      <c r="U284" s="35"/>
      <c r="V284" s="36"/>
      <c r="W284" s="36"/>
      <c r="X284" s="35"/>
      <c r="Y284" s="35"/>
      <c r="Z284" s="36"/>
      <c r="AA284" s="37"/>
      <c r="AB284" s="38" t="str">
        <f aca="false">IF(OR(AA284="",J284=""),"",AA284*J284)</f>
        <v/>
      </c>
      <c r="AC284" s="35"/>
      <c r="AD284" s="35"/>
      <c r="AE284" s="36"/>
      <c r="AF284" s="34" t="str">
        <f aca="true">IF(OR(D284="",R284="Cancelled"),"",IF(H284="","NO QTY",IF(AND(L284="Buy",E284=""),"NO PART NO",IF(AND(W284&lt;&gt;"",NOT(OR(R284="Received",R284="NSW Purchased")),W284&lt;TODAY()),"OVERDUE",IF(AND(W284&lt;&gt;"",Q284&lt;&gt;"",W284&gt;Q284),"LATE vs REQ",IF(AND(R284="Finalized – Not Purchased",T284=""),"NEED PR",IF(AND(Y284&lt;&gt;"",Y284&lt;J284),"SHORT","")))))))</f>
        <v/>
      </c>
      <c r="AG284" s="35"/>
    </row>
    <row r="285" customFormat="false" ht="15" hidden="false" customHeight="false" outlineLevel="0" collapsed="false">
      <c r="A285" s="34" t="str">
        <f aca="false">IF(B285="","",LEFT(B285,3)&amp;"-"&amp;TEXT(COUNTIF(B$11:B285,B285),"00"))</f>
        <v/>
      </c>
      <c r="B285" s="35"/>
      <c r="C285" s="35"/>
      <c r="D285" s="35"/>
      <c r="E285" s="35"/>
      <c r="F285" s="35"/>
      <c r="G285" s="35"/>
      <c r="H285" s="35"/>
      <c r="I285" s="35"/>
      <c r="J285" s="34" t="str">
        <f aca="false">IF(H285="","",H285*IF(I285="",1,I285))</f>
        <v/>
      </c>
      <c r="K285" s="35"/>
      <c r="L285" s="35"/>
      <c r="M285" s="35"/>
      <c r="N285" s="35"/>
      <c r="O285" s="35"/>
      <c r="P285" s="36"/>
      <c r="Q285" s="36"/>
      <c r="R285" s="35"/>
      <c r="S285" s="35"/>
      <c r="T285" s="35"/>
      <c r="U285" s="35"/>
      <c r="V285" s="36"/>
      <c r="W285" s="36"/>
      <c r="X285" s="35"/>
      <c r="Y285" s="35"/>
      <c r="Z285" s="36"/>
      <c r="AA285" s="37"/>
      <c r="AB285" s="38" t="str">
        <f aca="false">IF(OR(AA285="",J285=""),"",AA285*J285)</f>
        <v/>
      </c>
      <c r="AC285" s="35"/>
      <c r="AD285" s="35"/>
      <c r="AE285" s="36"/>
      <c r="AF285" s="34" t="str">
        <f aca="true">IF(OR(D285="",R285="Cancelled"),"",IF(H285="","NO QTY",IF(AND(L285="Buy",E285=""),"NO PART NO",IF(AND(W285&lt;&gt;"",NOT(OR(R285="Received",R285="NSW Purchased")),W285&lt;TODAY()),"OVERDUE",IF(AND(W285&lt;&gt;"",Q285&lt;&gt;"",W285&gt;Q285),"LATE vs REQ",IF(AND(R285="Finalized – Not Purchased",T285=""),"NEED PR",IF(AND(Y285&lt;&gt;"",Y285&lt;J285),"SHORT","")))))))</f>
        <v/>
      </c>
      <c r="AG285" s="35"/>
    </row>
    <row r="286" customFormat="false" ht="15" hidden="false" customHeight="false" outlineLevel="0" collapsed="false">
      <c r="A286" s="34" t="str">
        <f aca="false">IF(B286="","",LEFT(B286,3)&amp;"-"&amp;TEXT(COUNTIF(B$11:B286,B286),"00"))</f>
        <v/>
      </c>
      <c r="B286" s="35"/>
      <c r="C286" s="35"/>
      <c r="D286" s="35"/>
      <c r="E286" s="35"/>
      <c r="F286" s="35"/>
      <c r="G286" s="35"/>
      <c r="H286" s="35"/>
      <c r="I286" s="35"/>
      <c r="J286" s="34" t="str">
        <f aca="false">IF(H286="","",H286*IF(I286="",1,I286))</f>
        <v/>
      </c>
      <c r="K286" s="35"/>
      <c r="L286" s="35"/>
      <c r="M286" s="35"/>
      <c r="N286" s="35"/>
      <c r="O286" s="35"/>
      <c r="P286" s="36"/>
      <c r="Q286" s="36"/>
      <c r="R286" s="35"/>
      <c r="S286" s="35"/>
      <c r="T286" s="35"/>
      <c r="U286" s="35"/>
      <c r="V286" s="36"/>
      <c r="W286" s="36"/>
      <c r="X286" s="35"/>
      <c r="Y286" s="35"/>
      <c r="Z286" s="36"/>
      <c r="AA286" s="37"/>
      <c r="AB286" s="38" t="str">
        <f aca="false">IF(OR(AA286="",J286=""),"",AA286*J286)</f>
        <v/>
      </c>
      <c r="AC286" s="35"/>
      <c r="AD286" s="35"/>
      <c r="AE286" s="36"/>
      <c r="AF286" s="34" t="str">
        <f aca="true">IF(OR(D286="",R286="Cancelled"),"",IF(H286="","NO QTY",IF(AND(L286="Buy",E286=""),"NO PART NO",IF(AND(W286&lt;&gt;"",NOT(OR(R286="Received",R286="NSW Purchased")),W286&lt;TODAY()),"OVERDUE",IF(AND(W286&lt;&gt;"",Q286&lt;&gt;"",W286&gt;Q286),"LATE vs REQ",IF(AND(R286="Finalized – Not Purchased",T286=""),"NEED PR",IF(AND(Y286&lt;&gt;"",Y286&lt;J286),"SHORT","")))))))</f>
        <v/>
      </c>
      <c r="AG286" s="35"/>
    </row>
    <row r="287" customFormat="false" ht="15" hidden="false" customHeight="false" outlineLevel="0" collapsed="false">
      <c r="A287" s="34" t="str">
        <f aca="false">IF(B287="","",LEFT(B287,3)&amp;"-"&amp;TEXT(COUNTIF(B$11:B287,B287),"00"))</f>
        <v/>
      </c>
      <c r="B287" s="35"/>
      <c r="C287" s="35"/>
      <c r="D287" s="35"/>
      <c r="E287" s="35"/>
      <c r="F287" s="35"/>
      <c r="G287" s="35"/>
      <c r="H287" s="35"/>
      <c r="I287" s="35"/>
      <c r="J287" s="34" t="str">
        <f aca="false">IF(H287="","",H287*IF(I287="",1,I287))</f>
        <v/>
      </c>
      <c r="K287" s="35"/>
      <c r="L287" s="35"/>
      <c r="M287" s="35"/>
      <c r="N287" s="35"/>
      <c r="O287" s="35"/>
      <c r="P287" s="36"/>
      <c r="Q287" s="36"/>
      <c r="R287" s="35"/>
      <c r="S287" s="35"/>
      <c r="T287" s="35"/>
      <c r="U287" s="35"/>
      <c r="V287" s="36"/>
      <c r="W287" s="36"/>
      <c r="X287" s="35"/>
      <c r="Y287" s="35"/>
      <c r="Z287" s="36"/>
      <c r="AA287" s="37"/>
      <c r="AB287" s="38" t="str">
        <f aca="false">IF(OR(AA287="",J287=""),"",AA287*J287)</f>
        <v/>
      </c>
      <c r="AC287" s="35"/>
      <c r="AD287" s="35"/>
      <c r="AE287" s="36"/>
      <c r="AF287" s="34" t="str">
        <f aca="true">IF(OR(D287="",R287="Cancelled"),"",IF(H287="","NO QTY",IF(AND(L287="Buy",E287=""),"NO PART NO",IF(AND(W287&lt;&gt;"",NOT(OR(R287="Received",R287="NSW Purchased")),W287&lt;TODAY()),"OVERDUE",IF(AND(W287&lt;&gt;"",Q287&lt;&gt;"",W287&gt;Q287),"LATE vs REQ",IF(AND(R287="Finalized – Not Purchased",T287=""),"NEED PR",IF(AND(Y287&lt;&gt;"",Y287&lt;J287),"SHORT","")))))))</f>
        <v/>
      </c>
      <c r="AG287" s="35"/>
    </row>
    <row r="288" customFormat="false" ht="15" hidden="false" customHeight="false" outlineLevel="0" collapsed="false">
      <c r="A288" s="34" t="str">
        <f aca="false">IF(B288="","",LEFT(B288,3)&amp;"-"&amp;TEXT(COUNTIF(B$11:B288,B288),"00"))</f>
        <v/>
      </c>
      <c r="B288" s="35"/>
      <c r="C288" s="35"/>
      <c r="D288" s="35"/>
      <c r="E288" s="35"/>
      <c r="F288" s="35"/>
      <c r="G288" s="35"/>
      <c r="H288" s="35"/>
      <c r="I288" s="35"/>
      <c r="J288" s="34" t="str">
        <f aca="false">IF(H288="","",H288*IF(I288="",1,I288))</f>
        <v/>
      </c>
      <c r="K288" s="35"/>
      <c r="L288" s="35"/>
      <c r="M288" s="35"/>
      <c r="N288" s="35"/>
      <c r="O288" s="35"/>
      <c r="P288" s="36"/>
      <c r="Q288" s="36"/>
      <c r="R288" s="35"/>
      <c r="S288" s="35"/>
      <c r="T288" s="35"/>
      <c r="U288" s="35"/>
      <c r="V288" s="36"/>
      <c r="W288" s="36"/>
      <c r="X288" s="35"/>
      <c r="Y288" s="35"/>
      <c r="Z288" s="36"/>
      <c r="AA288" s="37"/>
      <c r="AB288" s="38" t="str">
        <f aca="false">IF(OR(AA288="",J288=""),"",AA288*J288)</f>
        <v/>
      </c>
      <c r="AC288" s="35"/>
      <c r="AD288" s="35"/>
      <c r="AE288" s="36"/>
      <c r="AF288" s="34" t="str">
        <f aca="true">IF(OR(D288="",R288="Cancelled"),"",IF(H288="","NO QTY",IF(AND(L288="Buy",E288=""),"NO PART NO",IF(AND(W288&lt;&gt;"",NOT(OR(R288="Received",R288="NSW Purchased")),W288&lt;TODAY()),"OVERDUE",IF(AND(W288&lt;&gt;"",Q288&lt;&gt;"",W288&gt;Q288),"LATE vs REQ",IF(AND(R288="Finalized – Not Purchased",T288=""),"NEED PR",IF(AND(Y288&lt;&gt;"",Y288&lt;J288),"SHORT","")))))))</f>
        <v/>
      </c>
      <c r="AG288" s="35"/>
    </row>
    <row r="289" customFormat="false" ht="15" hidden="false" customHeight="false" outlineLevel="0" collapsed="false">
      <c r="A289" s="34" t="str">
        <f aca="false">IF(B289="","",LEFT(B289,3)&amp;"-"&amp;TEXT(COUNTIF(B$11:B289,B289),"00"))</f>
        <v/>
      </c>
      <c r="B289" s="35"/>
      <c r="C289" s="35"/>
      <c r="D289" s="35"/>
      <c r="E289" s="35"/>
      <c r="F289" s="35"/>
      <c r="G289" s="35"/>
      <c r="H289" s="35"/>
      <c r="I289" s="35"/>
      <c r="J289" s="34" t="str">
        <f aca="false">IF(H289="","",H289*IF(I289="",1,I289))</f>
        <v/>
      </c>
      <c r="K289" s="35"/>
      <c r="L289" s="35"/>
      <c r="M289" s="35"/>
      <c r="N289" s="35"/>
      <c r="O289" s="35"/>
      <c r="P289" s="36"/>
      <c r="Q289" s="36"/>
      <c r="R289" s="35"/>
      <c r="S289" s="35"/>
      <c r="T289" s="35"/>
      <c r="U289" s="35"/>
      <c r="V289" s="36"/>
      <c r="W289" s="36"/>
      <c r="X289" s="35"/>
      <c r="Y289" s="35"/>
      <c r="Z289" s="36"/>
      <c r="AA289" s="37"/>
      <c r="AB289" s="38" t="str">
        <f aca="false">IF(OR(AA289="",J289=""),"",AA289*J289)</f>
        <v/>
      </c>
      <c r="AC289" s="35"/>
      <c r="AD289" s="35"/>
      <c r="AE289" s="36"/>
      <c r="AF289" s="34" t="str">
        <f aca="true">IF(OR(D289="",R289="Cancelled"),"",IF(H289="","NO QTY",IF(AND(L289="Buy",E289=""),"NO PART NO",IF(AND(W289&lt;&gt;"",NOT(OR(R289="Received",R289="NSW Purchased")),W289&lt;TODAY()),"OVERDUE",IF(AND(W289&lt;&gt;"",Q289&lt;&gt;"",W289&gt;Q289),"LATE vs REQ",IF(AND(R289="Finalized – Not Purchased",T289=""),"NEED PR",IF(AND(Y289&lt;&gt;"",Y289&lt;J289),"SHORT","")))))))</f>
        <v/>
      </c>
      <c r="AG289" s="35"/>
    </row>
    <row r="290" customFormat="false" ht="15" hidden="false" customHeight="false" outlineLevel="0" collapsed="false">
      <c r="A290" s="34" t="str">
        <f aca="false">IF(B290="","",LEFT(B290,3)&amp;"-"&amp;TEXT(COUNTIF(B$11:B290,B290),"00"))</f>
        <v/>
      </c>
      <c r="B290" s="35"/>
      <c r="C290" s="35"/>
      <c r="D290" s="35"/>
      <c r="E290" s="35"/>
      <c r="F290" s="35"/>
      <c r="G290" s="35"/>
      <c r="H290" s="35"/>
      <c r="I290" s="35"/>
      <c r="J290" s="34" t="str">
        <f aca="false">IF(H290="","",H290*IF(I290="",1,I290))</f>
        <v/>
      </c>
      <c r="K290" s="35"/>
      <c r="L290" s="35"/>
      <c r="M290" s="35"/>
      <c r="N290" s="35"/>
      <c r="O290" s="35"/>
      <c r="P290" s="36"/>
      <c r="Q290" s="36"/>
      <c r="R290" s="35"/>
      <c r="S290" s="35"/>
      <c r="T290" s="35"/>
      <c r="U290" s="35"/>
      <c r="V290" s="36"/>
      <c r="W290" s="36"/>
      <c r="X290" s="35"/>
      <c r="Y290" s="35"/>
      <c r="Z290" s="36"/>
      <c r="AA290" s="37"/>
      <c r="AB290" s="38" t="str">
        <f aca="false">IF(OR(AA290="",J290=""),"",AA290*J290)</f>
        <v/>
      </c>
      <c r="AC290" s="35"/>
      <c r="AD290" s="35"/>
      <c r="AE290" s="36"/>
      <c r="AF290" s="34" t="str">
        <f aca="true">IF(OR(D290="",R290="Cancelled"),"",IF(H290="","NO QTY",IF(AND(L290="Buy",E290=""),"NO PART NO",IF(AND(W290&lt;&gt;"",NOT(OR(R290="Received",R290="NSW Purchased")),W290&lt;TODAY()),"OVERDUE",IF(AND(W290&lt;&gt;"",Q290&lt;&gt;"",W290&gt;Q290),"LATE vs REQ",IF(AND(R290="Finalized – Not Purchased",T290=""),"NEED PR",IF(AND(Y290&lt;&gt;"",Y290&lt;J290),"SHORT","")))))))</f>
        <v/>
      </c>
      <c r="AG290" s="35"/>
    </row>
    <row r="291" customFormat="false" ht="15" hidden="false" customHeight="false" outlineLevel="0" collapsed="false">
      <c r="A291" s="34" t="str">
        <f aca="false">IF(B291="","",LEFT(B291,3)&amp;"-"&amp;TEXT(COUNTIF(B$11:B291,B291),"00"))</f>
        <v/>
      </c>
      <c r="B291" s="35"/>
      <c r="C291" s="35"/>
      <c r="D291" s="35"/>
      <c r="E291" s="35"/>
      <c r="F291" s="35"/>
      <c r="G291" s="35"/>
      <c r="H291" s="35"/>
      <c r="I291" s="35"/>
      <c r="J291" s="34" t="str">
        <f aca="false">IF(H291="","",H291*IF(I291="",1,I291))</f>
        <v/>
      </c>
      <c r="K291" s="35"/>
      <c r="L291" s="35"/>
      <c r="M291" s="35"/>
      <c r="N291" s="35"/>
      <c r="O291" s="35"/>
      <c r="P291" s="36"/>
      <c r="Q291" s="36"/>
      <c r="R291" s="35"/>
      <c r="S291" s="35"/>
      <c r="T291" s="35"/>
      <c r="U291" s="35"/>
      <c r="V291" s="36"/>
      <c r="W291" s="36"/>
      <c r="X291" s="35"/>
      <c r="Y291" s="35"/>
      <c r="Z291" s="36"/>
      <c r="AA291" s="37"/>
      <c r="AB291" s="38" t="str">
        <f aca="false">IF(OR(AA291="",J291=""),"",AA291*J291)</f>
        <v/>
      </c>
      <c r="AC291" s="35"/>
      <c r="AD291" s="35"/>
      <c r="AE291" s="36"/>
      <c r="AF291" s="34" t="str">
        <f aca="true">IF(OR(D291="",R291="Cancelled"),"",IF(H291="","NO QTY",IF(AND(L291="Buy",E291=""),"NO PART NO",IF(AND(W291&lt;&gt;"",NOT(OR(R291="Received",R291="NSW Purchased")),W291&lt;TODAY()),"OVERDUE",IF(AND(W291&lt;&gt;"",Q291&lt;&gt;"",W291&gt;Q291),"LATE vs REQ",IF(AND(R291="Finalized – Not Purchased",T291=""),"NEED PR",IF(AND(Y291&lt;&gt;"",Y291&lt;J291),"SHORT","")))))))</f>
        <v/>
      </c>
      <c r="AG291" s="35"/>
    </row>
    <row r="292" customFormat="false" ht="15" hidden="false" customHeight="false" outlineLevel="0" collapsed="false">
      <c r="A292" s="34" t="str">
        <f aca="false">IF(B292="","",LEFT(B292,3)&amp;"-"&amp;TEXT(COUNTIF(B$11:B292,B292),"00"))</f>
        <v/>
      </c>
      <c r="B292" s="35"/>
      <c r="C292" s="35"/>
      <c r="D292" s="35"/>
      <c r="E292" s="35"/>
      <c r="F292" s="35"/>
      <c r="G292" s="35"/>
      <c r="H292" s="35"/>
      <c r="I292" s="35"/>
      <c r="J292" s="34" t="str">
        <f aca="false">IF(H292="","",H292*IF(I292="",1,I292))</f>
        <v/>
      </c>
      <c r="K292" s="35"/>
      <c r="L292" s="35"/>
      <c r="M292" s="35"/>
      <c r="N292" s="35"/>
      <c r="O292" s="35"/>
      <c r="P292" s="36"/>
      <c r="Q292" s="36"/>
      <c r="R292" s="35"/>
      <c r="S292" s="35"/>
      <c r="T292" s="35"/>
      <c r="U292" s="35"/>
      <c r="V292" s="36"/>
      <c r="W292" s="36"/>
      <c r="X292" s="35"/>
      <c r="Y292" s="35"/>
      <c r="Z292" s="36"/>
      <c r="AA292" s="37"/>
      <c r="AB292" s="38" t="str">
        <f aca="false">IF(OR(AA292="",J292=""),"",AA292*J292)</f>
        <v/>
      </c>
      <c r="AC292" s="35"/>
      <c r="AD292" s="35"/>
      <c r="AE292" s="36"/>
      <c r="AF292" s="34" t="str">
        <f aca="true">IF(OR(D292="",R292="Cancelled"),"",IF(H292="","NO QTY",IF(AND(L292="Buy",E292=""),"NO PART NO",IF(AND(W292&lt;&gt;"",NOT(OR(R292="Received",R292="NSW Purchased")),W292&lt;TODAY()),"OVERDUE",IF(AND(W292&lt;&gt;"",Q292&lt;&gt;"",W292&gt;Q292),"LATE vs REQ",IF(AND(R292="Finalized – Not Purchased",T292=""),"NEED PR",IF(AND(Y292&lt;&gt;"",Y292&lt;J292),"SHORT","")))))))</f>
        <v/>
      </c>
      <c r="AG292" s="35"/>
    </row>
    <row r="293" customFormat="false" ht="15" hidden="false" customHeight="false" outlineLevel="0" collapsed="false">
      <c r="A293" s="34" t="str">
        <f aca="false">IF(B293="","",LEFT(B293,3)&amp;"-"&amp;TEXT(COUNTIF(B$11:B293,B293),"00"))</f>
        <v/>
      </c>
      <c r="B293" s="35"/>
      <c r="C293" s="35"/>
      <c r="D293" s="35"/>
      <c r="E293" s="35"/>
      <c r="F293" s="35"/>
      <c r="G293" s="35"/>
      <c r="H293" s="35"/>
      <c r="I293" s="35"/>
      <c r="J293" s="34" t="str">
        <f aca="false">IF(H293="","",H293*IF(I293="",1,I293))</f>
        <v/>
      </c>
      <c r="K293" s="35"/>
      <c r="L293" s="35"/>
      <c r="M293" s="35"/>
      <c r="N293" s="35"/>
      <c r="O293" s="35"/>
      <c r="P293" s="36"/>
      <c r="Q293" s="36"/>
      <c r="R293" s="35"/>
      <c r="S293" s="35"/>
      <c r="T293" s="35"/>
      <c r="U293" s="35"/>
      <c r="V293" s="36"/>
      <c r="W293" s="36"/>
      <c r="X293" s="35"/>
      <c r="Y293" s="35"/>
      <c r="Z293" s="36"/>
      <c r="AA293" s="37"/>
      <c r="AB293" s="38" t="str">
        <f aca="false">IF(OR(AA293="",J293=""),"",AA293*J293)</f>
        <v/>
      </c>
      <c r="AC293" s="35"/>
      <c r="AD293" s="35"/>
      <c r="AE293" s="36"/>
      <c r="AF293" s="34" t="str">
        <f aca="true">IF(OR(D293="",R293="Cancelled"),"",IF(H293="","NO QTY",IF(AND(L293="Buy",E293=""),"NO PART NO",IF(AND(W293&lt;&gt;"",NOT(OR(R293="Received",R293="NSW Purchased")),W293&lt;TODAY()),"OVERDUE",IF(AND(W293&lt;&gt;"",Q293&lt;&gt;"",W293&gt;Q293),"LATE vs REQ",IF(AND(R293="Finalized – Not Purchased",T293=""),"NEED PR",IF(AND(Y293&lt;&gt;"",Y293&lt;J293),"SHORT","")))))))</f>
        <v/>
      </c>
      <c r="AG293" s="35"/>
    </row>
    <row r="294" customFormat="false" ht="15" hidden="false" customHeight="false" outlineLevel="0" collapsed="false">
      <c r="A294" s="34" t="str">
        <f aca="false">IF(B294="","",LEFT(B294,3)&amp;"-"&amp;TEXT(COUNTIF(B$11:B294,B294),"00"))</f>
        <v/>
      </c>
      <c r="B294" s="35"/>
      <c r="C294" s="35"/>
      <c r="D294" s="35"/>
      <c r="E294" s="35"/>
      <c r="F294" s="35"/>
      <c r="G294" s="35"/>
      <c r="H294" s="35"/>
      <c r="I294" s="35"/>
      <c r="J294" s="34" t="str">
        <f aca="false">IF(H294="","",H294*IF(I294="",1,I294))</f>
        <v/>
      </c>
      <c r="K294" s="35"/>
      <c r="L294" s="35"/>
      <c r="M294" s="35"/>
      <c r="N294" s="35"/>
      <c r="O294" s="35"/>
      <c r="P294" s="36"/>
      <c r="Q294" s="36"/>
      <c r="R294" s="35"/>
      <c r="S294" s="35"/>
      <c r="T294" s="35"/>
      <c r="U294" s="35"/>
      <c r="V294" s="36"/>
      <c r="W294" s="36"/>
      <c r="X294" s="35"/>
      <c r="Y294" s="35"/>
      <c r="Z294" s="36"/>
      <c r="AA294" s="37"/>
      <c r="AB294" s="38" t="str">
        <f aca="false">IF(OR(AA294="",J294=""),"",AA294*J294)</f>
        <v/>
      </c>
      <c r="AC294" s="35"/>
      <c r="AD294" s="35"/>
      <c r="AE294" s="36"/>
      <c r="AF294" s="34" t="str">
        <f aca="true">IF(OR(D294="",R294="Cancelled"),"",IF(H294="","NO QTY",IF(AND(L294="Buy",E294=""),"NO PART NO",IF(AND(W294&lt;&gt;"",NOT(OR(R294="Received",R294="NSW Purchased")),W294&lt;TODAY()),"OVERDUE",IF(AND(W294&lt;&gt;"",Q294&lt;&gt;"",W294&gt;Q294),"LATE vs REQ",IF(AND(R294="Finalized – Not Purchased",T294=""),"NEED PR",IF(AND(Y294&lt;&gt;"",Y294&lt;J294),"SHORT","")))))))</f>
        <v/>
      </c>
      <c r="AG294" s="35"/>
    </row>
    <row r="295" customFormat="false" ht="15" hidden="false" customHeight="false" outlineLevel="0" collapsed="false">
      <c r="A295" s="34" t="str">
        <f aca="false">IF(B295="","",LEFT(B295,3)&amp;"-"&amp;TEXT(COUNTIF(B$11:B295,B295),"00"))</f>
        <v/>
      </c>
      <c r="B295" s="35"/>
      <c r="C295" s="35"/>
      <c r="D295" s="35"/>
      <c r="E295" s="35"/>
      <c r="F295" s="35"/>
      <c r="G295" s="35"/>
      <c r="H295" s="35"/>
      <c r="I295" s="35"/>
      <c r="J295" s="34" t="str">
        <f aca="false">IF(H295="","",H295*IF(I295="",1,I295))</f>
        <v/>
      </c>
      <c r="K295" s="35"/>
      <c r="L295" s="35"/>
      <c r="M295" s="35"/>
      <c r="N295" s="35"/>
      <c r="O295" s="35"/>
      <c r="P295" s="36"/>
      <c r="Q295" s="36"/>
      <c r="R295" s="35"/>
      <c r="S295" s="35"/>
      <c r="T295" s="35"/>
      <c r="U295" s="35"/>
      <c r="V295" s="36"/>
      <c r="W295" s="36"/>
      <c r="X295" s="35"/>
      <c r="Y295" s="35"/>
      <c r="Z295" s="36"/>
      <c r="AA295" s="37"/>
      <c r="AB295" s="38" t="str">
        <f aca="false">IF(OR(AA295="",J295=""),"",AA295*J295)</f>
        <v/>
      </c>
      <c r="AC295" s="35"/>
      <c r="AD295" s="35"/>
      <c r="AE295" s="36"/>
      <c r="AF295" s="34" t="str">
        <f aca="true">IF(OR(D295="",R295="Cancelled"),"",IF(H295="","NO QTY",IF(AND(L295="Buy",E295=""),"NO PART NO",IF(AND(W295&lt;&gt;"",NOT(OR(R295="Received",R295="NSW Purchased")),W295&lt;TODAY()),"OVERDUE",IF(AND(W295&lt;&gt;"",Q295&lt;&gt;"",W295&gt;Q295),"LATE vs REQ",IF(AND(R295="Finalized – Not Purchased",T295=""),"NEED PR",IF(AND(Y295&lt;&gt;"",Y295&lt;J295),"SHORT","")))))))</f>
        <v/>
      </c>
      <c r="AG295" s="35"/>
    </row>
    <row r="296" customFormat="false" ht="15" hidden="false" customHeight="false" outlineLevel="0" collapsed="false">
      <c r="A296" s="34" t="str">
        <f aca="false">IF(B296="","",LEFT(B296,3)&amp;"-"&amp;TEXT(COUNTIF(B$11:B296,B296),"00"))</f>
        <v/>
      </c>
      <c r="B296" s="35"/>
      <c r="C296" s="35"/>
      <c r="D296" s="35"/>
      <c r="E296" s="35"/>
      <c r="F296" s="35"/>
      <c r="G296" s="35"/>
      <c r="H296" s="35"/>
      <c r="I296" s="35"/>
      <c r="J296" s="34" t="str">
        <f aca="false">IF(H296="","",H296*IF(I296="",1,I296))</f>
        <v/>
      </c>
      <c r="K296" s="35"/>
      <c r="L296" s="35"/>
      <c r="M296" s="35"/>
      <c r="N296" s="35"/>
      <c r="O296" s="35"/>
      <c r="P296" s="36"/>
      <c r="Q296" s="36"/>
      <c r="R296" s="35"/>
      <c r="S296" s="35"/>
      <c r="T296" s="35"/>
      <c r="U296" s="35"/>
      <c r="V296" s="36"/>
      <c r="W296" s="36"/>
      <c r="X296" s="35"/>
      <c r="Y296" s="35"/>
      <c r="Z296" s="36"/>
      <c r="AA296" s="37"/>
      <c r="AB296" s="38" t="str">
        <f aca="false">IF(OR(AA296="",J296=""),"",AA296*J296)</f>
        <v/>
      </c>
      <c r="AC296" s="35"/>
      <c r="AD296" s="35"/>
      <c r="AE296" s="36"/>
      <c r="AF296" s="34" t="str">
        <f aca="true">IF(OR(D296="",R296="Cancelled"),"",IF(H296="","NO QTY",IF(AND(L296="Buy",E296=""),"NO PART NO",IF(AND(W296&lt;&gt;"",NOT(OR(R296="Received",R296="NSW Purchased")),W296&lt;TODAY()),"OVERDUE",IF(AND(W296&lt;&gt;"",Q296&lt;&gt;"",W296&gt;Q296),"LATE vs REQ",IF(AND(R296="Finalized – Not Purchased",T296=""),"NEED PR",IF(AND(Y296&lt;&gt;"",Y296&lt;J296),"SHORT","")))))))</f>
        <v/>
      </c>
      <c r="AG296" s="35"/>
    </row>
    <row r="297" customFormat="false" ht="15" hidden="false" customHeight="false" outlineLevel="0" collapsed="false">
      <c r="A297" s="34" t="str">
        <f aca="false">IF(B297="","",LEFT(B297,3)&amp;"-"&amp;TEXT(COUNTIF(B$11:B297,B297),"00"))</f>
        <v/>
      </c>
      <c r="B297" s="35"/>
      <c r="C297" s="35"/>
      <c r="D297" s="35"/>
      <c r="E297" s="35"/>
      <c r="F297" s="35"/>
      <c r="G297" s="35"/>
      <c r="H297" s="35"/>
      <c r="I297" s="35"/>
      <c r="J297" s="34" t="str">
        <f aca="false">IF(H297="","",H297*IF(I297="",1,I297))</f>
        <v/>
      </c>
      <c r="K297" s="35"/>
      <c r="L297" s="35"/>
      <c r="M297" s="35"/>
      <c r="N297" s="35"/>
      <c r="O297" s="35"/>
      <c r="P297" s="36"/>
      <c r="Q297" s="36"/>
      <c r="R297" s="35"/>
      <c r="S297" s="35"/>
      <c r="T297" s="35"/>
      <c r="U297" s="35"/>
      <c r="V297" s="36"/>
      <c r="W297" s="36"/>
      <c r="X297" s="35"/>
      <c r="Y297" s="35"/>
      <c r="Z297" s="36"/>
      <c r="AA297" s="37"/>
      <c r="AB297" s="38" t="str">
        <f aca="false">IF(OR(AA297="",J297=""),"",AA297*J297)</f>
        <v/>
      </c>
      <c r="AC297" s="35"/>
      <c r="AD297" s="35"/>
      <c r="AE297" s="36"/>
      <c r="AF297" s="34" t="str">
        <f aca="true">IF(OR(D297="",R297="Cancelled"),"",IF(H297="","NO QTY",IF(AND(L297="Buy",E297=""),"NO PART NO",IF(AND(W297&lt;&gt;"",NOT(OR(R297="Received",R297="NSW Purchased")),W297&lt;TODAY()),"OVERDUE",IF(AND(W297&lt;&gt;"",Q297&lt;&gt;"",W297&gt;Q297),"LATE vs REQ",IF(AND(R297="Finalized – Not Purchased",T297=""),"NEED PR",IF(AND(Y297&lt;&gt;"",Y297&lt;J297),"SHORT","")))))))</f>
        <v/>
      </c>
      <c r="AG297" s="35"/>
    </row>
    <row r="298" customFormat="false" ht="15" hidden="false" customHeight="false" outlineLevel="0" collapsed="false">
      <c r="A298" s="34" t="str">
        <f aca="false">IF(B298="","",LEFT(B298,3)&amp;"-"&amp;TEXT(COUNTIF(B$11:B298,B298),"00"))</f>
        <v/>
      </c>
      <c r="B298" s="35"/>
      <c r="C298" s="35"/>
      <c r="D298" s="35"/>
      <c r="E298" s="35"/>
      <c r="F298" s="35"/>
      <c r="G298" s="35"/>
      <c r="H298" s="35"/>
      <c r="I298" s="35"/>
      <c r="J298" s="34" t="str">
        <f aca="false">IF(H298="","",H298*IF(I298="",1,I298))</f>
        <v/>
      </c>
      <c r="K298" s="35"/>
      <c r="L298" s="35"/>
      <c r="M298" s="35"/>
      <c r="N298" s="35"/>
      <c r="O298" s="35"/>
      <c r="P298" s="36"/>
      <c r="Q298" s="36"/>
      <c r="R298" s="35"/>
      <c r="S298" s="35"/>
      <c r="T298" s="35"/>
      <c r="U298" s="35"/>
      <c r="V298" s="36"/>
      <c r="W298" s="36"/>
      <c r="X298" s="35"/>
      <c r="Y298" s="35"/>
      <c r="Z298" s="36"/>
      <c r="AA298" s="37"/>
      <c r="AB298" s="38" t="str">
        <f aca="false">IF(OR(AA298="",J298=""),"",AA298*J298)</f>
        <v/>
      </c>
      <c r="AC298" s="35"/>
      <c r="AD298" s="35"/>
      <c r="AE298" s="36"/>
      <c r="AF298" s="34" t="str">
        <f aca="true">IF(OR(D298="",R298="Cancelled"),"",IF(H298="","NO QTY",IF(AND(L298="Buy",E298=""),"NO PART NO",IF(AND(W298&lt;&gt;"",NOT(OR(R298="Received",R298="NSW Purchased")),W298&lt;TODAY()),"OVERDUE",IF(AND(W298&lt;&gt;"",Q298&lt;&gt;"",W298&gt;Q298),"LATE vs REQ",IF(AND(R298="Finalized – Not Purchased",T298=""),"NEED PR",IF(AND(Y298&lt;&gt;"",Y298&lt;J298),"SHORT","")))))))</f>
        <v/>
      </c>
      <c r="AG298" s="35"/>
    </row>
    <row r="299" customFormat="false" ht="15" hidden="false" customHeight="false" outlineLevel="0" collapsed="false">
      <c r="A299" s="34" t="str">
        <f aca="false">IF(B299="","",LEFT(B299,3)&amp;"-"&amp;TEXT(COUNTIF(B$11:B299,B299),"00"))</f>
        <v/>
      </c>
      <c r="B299" s="35"/>
      <c r="C299" s="35"/>
      <c r="D299" s="35"/>
      <c r="E299" s="35"/>
      <c r="F299" s="35"/>
      <c r="G299" s="35"/>
      <c r="H299" s="35"/>
      <c r="I299" s="35"/>
      <c r="J299" s="34" t="str">
        <f aca="false">IF(H299="","",H299*IF(I299="",1,I299))</f>
        <v/>
      </c>
      <c r="K299" s="35"/>
      <c r="L299" s="35"/>
      <c r="M299" s="35"/>
      <c r="N299" s="35"/>
      <c r="O299" s="35"/>
      <c r="P299" s="36"/>
      <c r="Q299" s="36"/>
      <c r="R299" s="35"/>
      <c r="S299" s="35"/>
      <c r="T299" s="35"/>
      <c r="U299" s="35"/>
      <c r="V299" s="36"/>
      <c r="W299" s="36"/>
      <c r="X299" s="35"/>
      <c r="Y299" s="35"/>
      <c r="Z299" s="36"/>
      <c r="AA299" s="37"/>
      <c r="AB299" s="38" t="str">
        <f aca="false">IF(OR(AA299="",J299=""),"",AA299*J299)</f>
        <v/>
      </c>
      <c r="AC299" s="35"/>
      <c r="AD299" s="35"/>
      <c r="AE299" s="36"/>
      <c r="AF299" s="34" t="str">
        <f aca="true">IF(OR(D299="",R299="Cancelled"),"",IF(H299="","NO QTY",IF(AND(L299="Buy",E299=""),"NO PART NO",IF(AND(W299&lt;&gt;"",NOT(OR(R299="Received",R299="NSW Purchased")),W299&lt;TODAY()),"OVERDUE",IF(AND(W299&lt;&gt;"",Q299&lt;&gt;"",W299&gt;Q299),"LATE vs REQ",IF(AND(R299="Finalized – Not Purchased",T299=""),"NEED PR",IF(AND(Y299&lt;&gt;"",Y299&lt;J299),"SHORT","")))))))</f>
        <v/>
      </c>
      <c r="AG299" s="35"/>
    </row>
    <row r="300" customFormat="false" ht="15" hidden="false" customHeight="false" outlineLevel="0" collapsed="false">
      <c r="A300" s="34" t="str">
        <f aca="false">IF(B300="","",LEFT(B300,3)&amp;"-"&amp;TEXT(COUNTIF(B$11:B300,B300),"00"))</f>
        <v/>
      </c>
      <c r="B300" s="35"/>
      <c r="C300" s="35"/>
      <c r="D300" s="35"/>
      <c r="E300" s="35"/>
      <c r="F300" s="35"/>
      <c r="G300" s="35"/>
      <c r="H300" s="35"/>
      <c r="I300" s="35"/>
      <c r="J300" s="34" t="str">
        <f aca="false">IF(H300="","",H300*IF(I300="",1,I300))</f>
        <v/>
      </c>
      <c r="K300" s="35"/>
      <c r="L300" s="35"/>
      <c r="M300" s="35"/>
      <c r="N300" s="35"/>
      <c r="O300" s="35"/>
      <c r="P300" s="36"/>
      <c r="Q300" s="36"/>
      <c r="R300" s="35"/>
      <c r="S300" s="35"/>
      <c r="T300" s="35"/>
      <c r="U300" s="35"/>
      <c r="V300" s="36"/>
      <c r="W300" s="36"/>
      <c r="X300" s="35"/>
      <c r="Y300" s="35"/>
      <c r="Z300" s="36"/>
      <c r="AA300" s="37"/>
      <c r="AB300" s="38" t="str">
        <f aca="false">IF(OR(AA300="",J300=""),"",AA300*J300)</f>
        <v/>
      </c>
      <c r="AC300" s="35"/>
      <c r="AD300" s="35"/>
      <c r="AE300" s="36"/>
      <c r="AF300" s="34" t="str">
        <f aca="true">IF(OR(D300="",R300="Cancelled"),"",IF(H300="","NO QTY",IF(AND(L300="Buy",E300=""),"NO PART NO",IF(AND(W300&lt;&gt;"",NOT(OR(R300="Received",R300="NSW Purchased")),W300&lt;TODAY()),"OVERDUE",IF(AND(W300&lt;&gt;"",Q300&lt;&gt;"",W300&gt;Q300),"LATE vs REQ",IF(AND(R300="Finalized – Not Purchased",T300=""),"NEED PR",IF(AND(Y300&lt;&gt;"",Y300&lt;J300),"SHORT","")))))))</f>
        <v/>
      </c>
      <c r="AG300" s="35"/>
    </row>
    <row r="301" customFormat="false" ht="15" hidden="false" customHeight="false" outlineLevel="0" collapsed="false">
      <c r="A301" s="34" t="str">
        <f aca="false">IF(B301="","",LEFT(B301,3)&amp;"-"&amp;TEXT(COUNTIF(B$11:B301,B301),"00"))</f>
        <v/>
      </c>
      <c r="B301" s="35"/>
      <c r="C301" s="35"/>
      <c r="D301" s="35"/>
      <c r="E301" s="35"/>
      <c r="F301" s="35"/>
      <c r="G301" s="35"/>
      <c r="H301" s="35"/>
      <c r="I301" s="35"/>
      <c r="J301" s="34" t="str">
        <f aca="false">IF(H301="","",H301*IF(I301="",1,I301))</f>
        <v/>
      </c>
      <c r="K301" s="35"/>
      <c r="L301" s="35"/>
      <c r="M301" s="35"/>
      <c r="N301" s="35"/>
      <c r="O301" s="35"/>
      <c r="P301" s="36"/>
      <c r="Q301" s="36"/>
      <c r="R301" s="35"/>
      <c r="S301" s="35"/>
      <c r="T301" s="35"/>
      <c r="U301" s="35"/>
      <c r="V301" s="36"/>
      <c r="W301" s="36"/>
      <c r="X301" s="35"/>
      <c r="Y301" s="35"/>
      <c r="Z301" s="36"/>
      <c r="AA301" s="37"/>
      <c r="AB301" s="38" t="str">
        <f aca="false">IF(OR(AA301="",J301=""),"",AA301*J301)</f>
        <v/>
      </c>
      <c r="AC301" s="35"/>
      <c r="AD301" s="35"/>
      <c r="AE301" s="36"/>
      <c r="AF301" s="34" t="str">
        <f aca="true">IF(OR(D301="",R301="Cancelled"),"",IF(H301="","NO QTY",IF(AND(L301="Buy",E301=""),"NO PART NO",IF(AND(W301&lt;&gt;"",NOT(OR(R301="Received",R301="NSW Purchased")),W301&lt;TODAY()),"OVERDUE",IF(AND(W301&lt;&gt;"",Q301&lt;&gt;"",W301&gt;Q301),"LATE vs REQ",IF(AND(R301="Finalized – Not Purchased",T301=""),"NEED PR",IF(AND(Y301&lt;&gt;"",Y301&lt;J301),"SHORT","")))))))</f>
        <v/>
      </c>
      <c r="AG301" s="35"/>
    </row>
    <row r="302" customFormat="false" ht="15" hidden="false" customHeight="false" outlineLevel="0" collapsed="false">
      <c r="A302" s="34" t="str">
        <f aca="false">IF(B302="","",LEFT(B302,3)&amp;"-"&amp;TEXT(COUNTIF(B$11:B302,B302),"00"))</f>
        <v/>
      </c>
      <c r="B302" s="35"/>
      <c r="C302" s="35"/>
      <c r="D302" s="35"/>
      <c r="E302" s="35"/>
      <c r="F302" s="35"/>
      <c r="G302" s="35"/>
      <c r="H302" s="35"/>
      <c r="I302" s="35"/>
      <c r="J302" s="34" t="str">
        <f aca="false">IF(H302="","",H302*IF(I302="",1,I302))</f>
        <v/>
      </c>
      <c r="K302" s="35"/>
      <c r="L302" s="35"/>
      <c r="M302" s="35"/>
      <c r="N302" s="35"/>
      <c r="O302" s="35"/>
      <c r="P302" s="36"/>
      <c r="Q302" s="36"/>
      <c r="R302" s="35"/>
      <c r="S302" s="35"/>
      <c r="T302" s="35"/>
      <c r="U302" s="35"/>
      <c r="V302" s="36"/>
      <c r="W302" s="36"/>
      <c r="X302" s="35"/>
      <c r="Y302" s="35"/>
      <c r="Z302" s="36"/>
      <c r="AA302" s="37"/>
      <c r="AB302" s="38" t="str">
        <f aca="false">IF(OR(AA302="",J302=""),"",AA302*J302)</f>
        <v/>
      </c>
      <c r="AC302" s="35"/>
      <c r="AD302" s="35"/>
      <c r="AE302" s="36"/>
      <c r="AF302" s="34" t="str">
        <f aca="true">IF(OR(D302="",R302="Cancelled"),"",IF(H302="","NO QTY",IF(AND(L302="Buy",E302=""),"NO PART NO",IF(AND(W302&lt;&gt;"",NOT(OR(R302="Received",R302="NSW Purchased")),W302&lt;TODAY()),"OVERDUE",IF(AND(W302&lt;&gt;"",Q302&lt;&gt;"",W302&gt;Q302),"LATE vs REQ",IF(AND(R302="Finalized – Not Purchased",T302=""),"NEED PR",IF(AND(Y302&lt;&gt;"",Y302&lt;J302),"SHORT","")))))))</f>
        <v/>
      </c>
      <c r="AG302" s="35"/>
    </row>
    <row r="303" customFormat="false" ht="15" hidden="false" customHeight="false" outlineLevel="0" collapsed="false">
      <c r="A303" s="34" t="str">
        <f aca="false">IF(B303="","",LEFT(B303,3)&amp;"-"&amp;TEXT(COUNTIF(B$11:B303,B303),"00"))</f>
        <v/>
      </c>
      <c r="B303" s="35"/>
      <c r="C303" s="35"/>
      <c r="D303" s="35"/>
      <c r="E303" s="35"/>
      <c r="F303" s="35"/>
      <c r="G303" s="35"/>
      <c r="H303" s="35"/>
      <c r="I303" s="35"/>
      <c r="J303" s="34" t="str">
        <f aca="false">IF(H303="","",H303*IF(I303="",1,I303))</f>
        <v/>
      </c>
      <c r="K303" s="35"/>
      <c r="L303" s="35"/>
      <c r="M303" s="35"/>
      <c r="N303" s="35"/>
      <c r="O303" s="35"/>
      <c r="P303" s="36"/>
      <c r="Q303" s="36"/>
      <c r="R303" s="35"/>
      <c r="S303" s="35"/>
      <c r="T303" s="35"/>
      <c r="U303" s="35"/>
      <c r="V303" s="36"/>
      <c r="W303" s="36"/>
      <c r="X303" s="35"/>
      <c r="Y303" s="35"/>
      <c r="Z303" s="36"/>
      <c r="AA303" s="37"/>
      <c r="AB303" s="38" t="str">
        <f aca="false">IF(OR(AA303="",J303=""),"",AA303*J303)</f>
        <v/>
      </c>
      <c r="AC303" s="35"/>
      <c r="AD303" s="35"/>
      <c r="AE303" s="36"/>
      <c r="AF303" s="34" t="str">
        <f aca="true">IF(OR(D303="",R303="Cancelled"),"",IF(H303="","NO QTY",IF(AND(L303="Buy",E303=""),"NO PART NO",IF(AND(W303&lt;&gt;"",NOT(OR(R303="Received",R303="NSW Purchased")),W303&lt;TODAY()),"OVERDUE",IF(AND(W303&lt;&gt;"",Q303&lt;&gt;"",W303&gt;Q303),"LATE vs REQ",IF(AND(R303="Finalized – Not Purchased",T303=""),"NEED PR",IF(AND(Y303&lt;&gt;"",Y303&lt;J303),"SHORT","")))))))</f>
        <v/>
      </c>
      <c r="AG303" s="35"/>
    </row>
    <row r="304" customFormat="false" ht="15" hidden="false" customHeight="false" outlineLevel="0" collapsed="false">
      <c r="A304" s="34" t="str">
        <f aca="false">IF(B304="","",LEFT(B304,3)&amp;"-"&amp;TEXT(COUNTIF(B$11:B304,B304),"00"))</f>
        <v/>
      </c>
      <c r="B304" s="35"/>
      <c r="C304" s="35"/>
      <c r="D304" s="35"/>
      <c r="E304" s="35"/>
      <c r="F304" s="35"/>
      <c r="G304" s="35"/>
      <c r="H304" s="35"/>
      <c r="I304" s="35"/>
      <c r="J304" s="34" t="str">
        <f aca="false">IF(H304="","",H304*IF(I304="",1,I304))</f>
        <v/>
      </c>
      <c r="K304" s="35"/>
      <c r="L304" s="35"/>
      <c r="M304" s="35"/>
      <c r="N304" s="35"/>
      <c r="O304" s="35"/>
      <c r="P304" s="36"/>
      <c r="Q304" s="36"/>
      <c r="R304" s="35"/>
      <c r="S304" s="35"/>
      <c r="T304" s="35"/>
      <c r="U304" s="35"/>
      <c r="V304" s="36"/>
      <c r="W304" s="36"/>
      <c r="X304" s="35"/>
      <c r="Y304" s="35"/>
      <c r="Z304" s="36"/>
      <c r="AA304" s="37"/>
      <c r="AB304" s="38" t="str">
        <f aca="false">IF(OR(AA304="",J304=""),"",AA304*J304)</f>
        <v/>
      </c>
      <c r="AC304" s="35"/>
      <c r="AD304" s="35"/>
      <c r="AE304" s="36"/>
      <c r="AF304" s="34" t="str">
        <f aca="true">IF(OR(D304="",R304="Cancelled"),"",IF(H304="","NO QTY",IF(AND(L304="Buy",E304=""),"NO PART NO",IF(AND(W304&lt;&gt;"",NOT(OR(R304="Received",R304="NSW Purchased")),W304&lt;TODAY()),"OVERDUE",IF(AND(W304&lt;&gt;"",Q304&lt;&gt;"",W304&gt;Q304),"LATE vs REQ",IF(AND(R304="Finalized – Not Purchased",T304=""),"NEED PR",IF(AND(Y304&lt;&gt;"",Y304&lt;J304),"SHORT","")))))))</f>
        <v/>
      </c>
      <c r="AG304" s="35"/>
    </row>
    <row r="305" customFormat="false" ht="15" hidden="false" customHeight="false" outlineLevel="0" collapsed="false">
      <c r="A305" s="34" t="str">
        <f aca="false">IF(B305="","",LEFT(B305,3)&amp;"-"&amp;TEXT(COUNTIF(B$11:B305,B305),"00"))</f>
        <v/>
      </c>
      <c r="B305" s="35"/>
      <c r="C305" s="35"/>
      <c r="D305" s="35"/>
      <c r="E305" s="35"/>
      <c r="F305" s="35"/>
      <c r="G305" s="35"/>
      <c r="H305" s="35"/>
      <c r="I305" s="35"/>
      <c r="J305" s="34" t="str">
        <f aca="false">IF(H305="","",H305*IF(I305="",1,I305))</f>
        <v/>
      </c>
      <c r="K305" s="35"/>
      <c r="L305" s="35"/>
      <c r="M305" s="35"/>
      <c r="N305" s="35"/>
      <c r="O305" s="35"/>
      <c r="P305" s="36"/>
      <c r="Q305" s="36"/>
      <c r="R305" s="35"/>
      <c r="S305" s="35"/>
      <c r="T305" s="35"/>
      <c r="U305" s="35"/>
      <c r="V305" s="36"/>
      <c r="W305" s="36"/>
      <c r="X305" s="35"/>
      <c r="Y305" s="35"/>
      <c r="Z305" s="36"/>
      <c r="AA305" s="37"/>
      <c r="AB305" s="38" t="str">
        <f aca="false">IF(OR(AA305="",J305=""),"",AA305*J305)</f>
        <v/>
      </c>
      <c r="AC305" s="35"/>
      <c r="AD305" s="35"/>
      <c r="AE305" s="36"/>
      <c r="AF305" s="34" t="str">
        <f aca="true">IF(OR(D305="",R305="Cancelled"),"",IF(H305="","NO QTY",IF(AND(L305="Buy",E305=""),"NO PART NO",IF(AND(W305&lt;&gt;"",NOT(OR(R305="Received",R305="NSW Purchased")),W305&lt;TODAY()),"OVERDUE",IF(AND(W305&lt;&gt;"",Q305&lt;&gt;"",W305&gt;Q305),"LATE vs REQ",IF(AND(R305="Finalized – Not Purchased",T305=""),"NEED PR",IF(AND(Y305&lt;&gt;"",Y305&lt;J305),"SHORT","")))))))</f>
        <v/>
      </c>
      <c r="AG305" s="35"/>
    </row>
    <row r="306" customFormat="false" ht="15" hidden="false" customHeight="false" outlineLevel="0" collapsed="false">
      <c r="A306" s="34" t="str">
        <f aca="false">IF(B306="","",LEFT(B306,3)&amp;"-"&amp;TEXT(COUNTIF(B$11:B306,B306),"00"))</f>
        <v/>
      </c>
      <c r="B306" s="35"/>
      <c r="C306" s="35"/>
      <c r="D306" s="35"/>
      <c r="E306" s="35"/>
      <c r="F306" s="35"/>
      <c r="G306" s="35"/>
      <c r="H306" s="35"/>
      <c r="I306" s="35"/>
      <c r="J306" s="34" t="str">
        <f aca="false">IF(H306="","",H306*IF(I306="",1,I306))</f>
        <v/>
      </c>
      <c r="K306" s="35"/>
      <c r="L306" s="35"/>
      <c r="M306" s="35"/>
      <c r="N306" s="35"/>
      <c r="O306" s="35"/>
      <c r="P306" s="36"/>
      <c r="Q306" s="36"/>
      <c r="R306" s="35"/>
      <c r="S306" s="35"/>
      <c r="T306" s="35"/>
      <c r="U306" s="35"/>
      <c r="V306" s="36"/>
      <c r="W306" s="36"/>
      <c r="X306" s="35"/>
      <c r="Y306" s="35"/>
      <c r="Z306" s="36"/>
      <c r="AA306" s="37"/>
      <c r="AB306" s="38" t="str">
        <f aca="false">IF(OR(AA306="",J306=""),"",AA306*J306)</f>
        <v/>
      </c>
      <c r="AC306" s="35"/>
      <c r="AD306" s="35"/>
      <c r="AE306" s="36"/>
      <c r="AF306" s="34" t="str">
        <f aca="true">IF(OR(D306="",R306="Cancelled"),"",IF(H306="","NO QTY",IF(AND(L306="Buy",E306=""),"NO PART NO",IF(AND(W306&lt;&gt;"",NOT(OR(R306="Received",R306="NSW Purchased")),W306&lt;TODAY()),"OVERDUE",IF(AND(W306&lt;&gt;"",Q306&lt;&gt;"",W306&gt;Q306),"LATE vs REQ",IF(AND(R306="Finalized – Not Purchased",T306=""),"NEED PR",IF(AND(Y306&lt;&gt;"",Y306&lt;J306),"SHORT","")))))))</f>
        <v/>
      </c>
      <c r="AG306" s="35"/>
    </row>
    <row r="307" customFormat="false" ht="15" hidden="false" customHeight="false" outlineLevel="0" collapsed="false">
      <c r="A307" s="34" t="str">
        <f aca="false">IF(B307="","",LEFT(B307,3)&amp;"-"&amp;TEXT(COUNTIF(B$11:B307,B307),"00"))</f>
        <v/>
      </c>
      <c r="B307" s="35"/>
      <c r="C307" s="35"/>
      <c r="D307" s="35"/>
      <c r="E307" s="35"/>
      <c r="F307" s="35"/>
      <c r="G307" s="35"/>
      <c r="H307" s="35"/>
      <c r="I307" s="35"/>
      <c r="J307" s="34" t="str">
        <f aca="false">IF(H307="","",H307*IF(I307="",1,I307))</f>
        <v/>
      </c>
      <c r="K307" s="35"/>
      <c r="L307" s="35"/>
      <c r="M307" s="35"/>
      <c r="N307" s="35"/>
      <c r="O307" s="35"/>
      <c r="P307" s="36"/>
      <c r="Q307" s="36"/>
      <c r="R307" s="35"/>
      <c r="S307" s="35"/>
      <c r="T307" s="35"/>
      <c r="U307" s="35"/>
      <c r="V307" s="36"/>
      <c r="W307" s="36"/>
      <c r="X307" s="35"/>
      <c r="Y307" s="35"/>
      <c r="Z307" s="36"/>
      <c r="AA307" s="37"/>
      <c r="AB307" s="38" t="str">
        <f aca="false">IF(OR(AA307="",J307=""),"",AA307*J307)</f>
        <v/>
      </c>
      <c r="AC307" s="35"/>
      <c r="AD307" s="35"/>
      <c r="AE307" s="36"/>
      <c r="AF307" s="34" t="str">
        <f aca="true">IF(OR(D307="",R307="Cancelled"),"",IF(H307="","NO QTY",IF(AND(L307="Buy",E307=""),"NO PART NO",IF(AND(W307&lt;&gt;"",NOT(OR(R307="Received",R307="NSW Purchased")),W307&lt;TODAY()),"OVERDUE",IF(AND(W307&lt;&gt;"",Q307&lt;&gt;"",W307&gt;Q307),"LATE vs REQ",IF(AND(R307="Finalized – Not Purchased",T307=""),"NEED PR",IF(AND(Y307&lt;&gt;"",Y307&lt;J307),"SHORT","")))))))</f>
        <v/>
      </c>
      <c r="AG307" s="35"/>
    </row>
    <row r="308" customFormat="false" ht="15" hidden="false" customHeight="false" outlineLevel="0" collapsed="false">
      <c r="A308" s="34" t="str">
        <f aca="false">IF(B308="","",LEFT(B308,3)&amp;"-"&amp;TEXT(COUNTIF(B$11:B308,B308),"00"))</f>
        <v/>
      </c>
      <c r="B308" s="35"/>
      <c r="C308" s="35"/>
      <c r="D308" s="35"/>
      <c r="E308" s="35"/>
      <c r="F308" s="35"/>
      <c r="G308" s="35"/>
      <c r="H308" s="35"/>
      <c r="I308" s="35"/>
      <c r="J308" s="34" t="str">
        <f aca="false">IF(H308="","",H308*IF(I308="",1,I308))</f>
        <v/>
      </c>
      <c r="K308" s="35"/>
      <c r="L308" s="35"/>
      <c r="M308" s="35"/>
      <c r="N308" s="35"/>
      <c r="O308" s="35"/>
      <c r="P308" s="36"/>
      <c r="Q308" s="36"/>
      <c r="R308" s="35"/>
      <c r="S308" s="35"/>
      <c r="T308" s="35"/>
      <c r="U308" s="35"/>
      <c r="V308" s="36"/>
      <c r="W308" s="36"/>
      <c r="X308" s="35"/>
      <c r="Y308" s="35"/>
      <c r="Z308" s="36"/>
      <c r="AA308" s="37"/>
      <c r="AB308" s="38" t="str">
        <f aca="false">IF(OR(AA308="",J308=""),"",AA308*J308)</f>
        <v/>
      </c>
      <c r="AC308" s="35"/>
      <c r="AD308" s="35"/>
      <c r="AE308" s="36"/>
      <c r="AF308" s="34" t="str">
        <f aca="true">IF(OR(D308="",R308="Cancelled"),"",IF(H308="","NO QTY",IF(AND(L308="Buy",E308=""),"NO PART NO",IF(AND(W308&lt;&gt;"",NOT(OR(R308="Received",R308="NSW Purchased")),W308&lt;TODAY()),"OVERDUE",IF(AND(W308&lt;&gt;"",Q308&lt;&gt;"",W308&gt;Q308),"LATE vs REQ",IF(AND(R308="Finalized – Not Purchased",T308=""),"NEED PR",IF(AND(Y308&lt;&gt;"",Y308&lt;J308),"SHORT","")))))))</f>
        <v/>
      </c>
      <c r="AG308" s="35"/>
    </row>
    <row r="309" customFormat="false" ht="15" hidden="false" customHeight="false" outlineLevel="0" collapsed="false">
      <c r="A309" s="34" t="str">
        <f aca="false">IF(B309="","",LEFT(B309,3)&amp;"-"&amp;TEXT(COUNTIF(B$11:B309,B309),"00"))</f>
        <v/>
      </c>
      <c r="B309" s="35"/>
      <c r="C309" s="35"/>
      <c r="D309" s="35"/>
      <c r="E309" s="35"/>
      <c r="F309" s="35"/>
      <c r="G309" s="35"/>
      <c r="H309" s="35"/>
      <c r="I309" s="35"/>
      <c r="J309" s="34" t="str">
        <f aca="false">IF(H309="","",H309*IF(I309="",1,I309))</f>
        <v/>
      </c>
      <c r="K309" s="35"/>
      <c r="L309" s="35"/>
      <c r="M309" s="35"/>
      <c r="N309" s="35"/>
      <c r="O309" s="35"/>
      <c r="P309" s="36"/>
      <c r="Q309" s="36"/>
      <c r="R309" s="35"/>
      <c r="S309" s="35"/>
      <c r="T309" s="35"/>
      <c r="U309" s="35"/>
      <c r="V309" s="36"/>
      <c r="W309" s="36"/>
      <c r="X309" s="35"/>
      <c r="Y309" s="35"/>
      <c r="Z309" s="36"/>
      <c r="AA309" s="37"/>
      <c r="AB309" s="38" t="str">
        <f aca="false">IF(OR(AA309="",J309=""),"",AA309*J309)</f>
        <v/>
      </c>
      <c r="AC309" s="35"/>
      <c r="AD309" s="35"/>
      <c r="AE309" s="36"/>
      <c r="AF309" s="34" t="str">
        <f aca="true">IF(OR(D309="",R309="Cancelled"),"",IF(H309="","NO QTY",IF(AND(L309="Buy",E309=""),"NO PART NO",IF(AND(W309&lt;&gt;"",NOT(OR(R309="Received",R309="NSW Purchased")),W309&lt;TODAY()),"OVERDUE",IF(AND(W309&lt;&gt;"",Q309&lt;&gt;"",W309&gt;Q309),"LATE vs REQ",IF(AND(R309="Finalized – Not Purchased",T309=""),"NEED PR",IF(AND(Y309&lt;&gt;"",Y309&lt;J309),"SHORT","")))))))</f>
        <v/>
      </c>
      <c r="AG309" s="35"/>
    </row>
    <row r="310" customFormat="false" ht="15" hidden="false" customHeight="false" outlineLevel="0" collapsed="false">
      <c r="A310" s="34" t="str">
        <f aca="false">IF(B310="","",LEFT(B310,3)&amp;"-"&amp;TEXT(COUNTIF(B$11:B310,B310),"00"))</f>
        <v/>
      </c>
      <c r="B310" s="35"/>
      <c r="C310" s="35"/>
      <c r="D310" s="35"/>
      <c r="E310" s="35"/>
      <c r="F310" s="35"/>
      <c r="G310" s="35"/>
      <c r="H310" s="35"/>
      <c r="I310" s="35"/>
      <c r="J310" s="34" t="str">
        <f aca="false">IF(H310="","",H310*IF(I310="",1,I310))</f>
        <v/>
      </c>
      <c r="K310" s="35"/>
      <c r="L310" s="35"/>
      <c r="M310" s="35"/>
      <c r="N310" s="35"/>
      <c r="O310" s="35"/>
      <c r="P310" s="36"/>
      <c r="Q310" s="36"/>
      <c r="R310" s="35"/>
      <c r="S310" s="35"/>
      <c r="T310" s="35"/>
      <c r="U310" s="35"/>
      <c r="V310" s="36"/>
      <c r="W310" s="36"/>
      <c r="X310" s="35"/>
      <c r="Y310" s="35"/>
      <c r="Z310" s="36"/>
      <c r="AA310" s="37"/>
      <c r="AB310" s="38" t="str">
        <f aca="false">IF(OR(AA310="",J310=""),"",AA310*J310)</f>
        <v/>
      </c>
      <c r="AC310" s="35"/>
      <c r="AD310" s="35"/>
      <c r="AE310" s="36"/>
      <c r="AF310" s="34" t="str">
        <f aca="true">IF(OR(D310="",R310="Cancelled"),"",IF(H310="","NO QTY",IF(AND(L310="Buy",E310=""),"NO PART NO",IF(AND(W310&lt;&gt;"",NOT(OR(R310="Received",R310="NSW Purchased")),W310&lt;TODAY()),"OVERDUE",IF(AND(W310&lt;&gt;"",Q310&lt;&gt;"",W310&gt;Q310),"LATE vs REQ",IF(AND(R310="Finalized – Not Purchased",T310=""),"NEED PR",IF(AND(Y310&lt;&gt;"",Y310&lt;J310),"SHORT","")))))))</f>
        <v/>
      </c>
      <c r="AG310" s="35"/>
    </row>
    <row r="311" customFormat="false" ht="15" hidden="false" customHeight="false" outlineLevel="0" collapsed="false">
      <c r="A311" s="34" t="str">
        <f aca="false">IF(B311="","",LEFT(B311,3)&amp;"-"&amp;TEXT(COUNTIF(B$11:B311,B311),"00"))</f>
        <v/>
      </c>
      <c r="B311" s="35"/>
      <c r="C311" s="35"/>
      <c r="D311" s="35"/>
      <c r="E311" s="35"/>
      <c r="F311" s="35"/>
      <c r="G311" s="35"/>
      <c r="H311" s="35"/>
      <c r="I311" s="35"/>
      <c r="J311" s="34" t="str">
        <f aca="false">IF(H311="","",H311*IF(I311="",1,I311))</f>
        <v/>
      </c>
      <c r="K311" s="35"/>
      <c r="L311" s="35"/>
      <c r="M311" s="35"/>
      <c r="N311" s="35"/>
      <c r="O311" s="35"/>
      <c r="P311" s="36"/>
      <c r="Q311" s="36"/>
      <c r="R311" s="35"/>
      <c r="S311" s="35"/>
      <c r="T311" s="35"/>
      <c r="U311" s="35"/>
      <c r="V311" s="36"/>
      <c r="W311" s="36"/>
      <c r="X311" s="35"/>
      <c r="Y311" s="35"/>
      <c r="Z311" s="36"/>
      <c r="AA311" s="37"/>
      <c r="AB311" s="38" t="str">
        <f aca="false">IF(OR(AA311="",J311=""),"",AA311*J311)</f>
        <v/>
      </c>
      <c r="AC311" s="35"/>
      <c r="AD311" s="35"/>
      <c r="AE311" s="36"/>
      <c r="AF311" s="34" t="str">
        <f aca="true">IF(OR(D311="",R311="Cancelled"),"",IF(H311="","NO QTY",IF(AND(L311="Buy",E311=""),"NO PART NO",IF(AND(W311&lt;&gt;"",NOT(OR(R311="Received",R311="NSW Purchased")),W311&lt;TODAY()),"OVERDUE",IF(AND(W311&lt;&gt;"",Q311&lt;&gt;"",W311&gt;Q311),"LATE vs REQ",IF(AND(R311="Finalized – Not Purchased",T311=""),"NEED PR",IF(AND(Y311&lt;&gt;"",Y311&lt;J311),"SHORT","")))))))</f>
        <v/>
      </c>
      <c r="AG311" s="35"/>
    </row>
    <row r="312" customFormat="false" ht="15" hidden="false" customHeight="false" outlineLevel="0" collapsed="false">
      <c r="A312" s="34" t="str">
        <f aca="false">IF(B312="","",LEFT(B312,3)&amp;"-"&amp;TEXT(COUNTIF(B$11:B312,B312),"00"))</f>
        <v/>
      </c>
      <c r="B312" s="35"/>
      <c r="C312" s="35"/>
      <c r="D312" s="35"/>
      <c r="E312" s="35"/>
      <c r="F312" s="35"/>
      <c r="G312" s="35"/>
      <c r="H312" s="35"/>
      <c r="I312" s="35"/>
      <c r="J312" s="34" t="str">
        <f aca="false">IF(H312="","",H312*IF(I312="",1,I312))</f>
        <v/>
      </c>
      <c r="K312" s="35"/>
      <c r="L312" s="35"/>
      <c r="M312" s="35"/>
      <c r="N312" s="35"/>
      <c r="O312" s="35"/>
      <c r="P312" s="36"/>
      <c r="Q312" s="36"/>
      <c r="R312" s="35"/>
      <c r="S312" s="35"/>
      <c r="T312" s="35"/>
      <c r="U312" s="35"/>
      <c r="V312" s="36"/>
      <c r="W312" s="36"/>
      <c r="X312" s="35"/>
      <c r="Y312" s="35"/>
      <c r="Z312" s="36"/>
      <c r="AA312" s="37"/>
      <c r="AB312" s="38" t="str">
        <f aca="false">IF(OR(AA312="",J312=""),"",AA312*J312)</f>
        <v/>
      </c>
      <c r="AC312" s="35"/>
      <c r="AD312" s="35"/>
      <c r="AE312" s="36"/>
      <c r="AF312" s="34" t="str">
        <f aca="true">IF(OR(D312="",R312="Cancelled"),"",IF(H312="","NO QTY",IF(AND(L312="Buy",E312=""),"NO PART NO",IF(AND(W312&lt;&gt;"",NOT(OR(R312="Received",R312="NSW Purchased")),W312&lt;TODAY()),"OVERDUE",IF(AND(W312&lt;&gt;"",Q312&lt;&gt;"",W312&gt;Q312),"LATE vs REQ",IF(AND(R312="Finalized – Not Purchased",T312=""),"NEED PR",IF(AND(Y312&lt;&gt;"",Y312&lt;J312),"SHORT","")))))))</f>
        <v/>
      </c>
      <c r="AG312" s="35"/>
    </row>
    <row r="313" customFormat="false" ht="15" hidden="false" customHeight="false" outlineLevel="0" collapsed="false">
      <c r="A313" s="34" t="str">
        <f aca="false">IF(B313="","",LEFT(B313,3)&amp;"-"&amp;TEXT(COUNTIF(B$11:B313,B313),"00"))</f>
        <v/>
      </c>
      <c r="B313" s="35"/>
      <c r="C313" s="35"/>
      <c r="D313" s="35"/>
      <c r="E313" s="35"/>
      <c r="F313" s="35"/>
      <c r="G313" s="35"/>
      <c r="H313" s="35"/>
      <c r="I313" s="35"/>
      <c r="J313" s="34" t="str">
        <f aca="false">IF(H313="","",H313*IF(I313="",1,I313))</f>
        <v/>
      </c>
      <c r="K313" s="35"/>
      <c r="L313" s="35"/>
      <c r="M313" s="35"/>
      <c r="N313" s="35"/>
      <c r="O313" s="35"/>
      <c r="P313" s="36"/>
      <c r="Q313" s="36"/>
      <c r="R313" s="35"/>
      <c r="S313" s="35"/>
      <c r="T313" s="35"/>
      <c r="U313" s="35"/>
      <c r="V313" s="36"/>
      <c r="W313" s="36"/>
      <c r="X313" s="35"/>
      <c r="Y313" s="35"/>
      <c r="Z313" s="36"/>
      <c r="AA313" s="37"/>
      <c r="AB313" s="38" t="str">
        <f aca="false">IF(OR(AA313="",J313=""),"",AA313*J313)</f>
        <v/>
      </c>
      <c r="AC313" s="35"/>
      <c r="AD313" s="35"/>
      <c r="AE313" s="36"/>
      <c r="AF313" s="34" t="str">
        <f aca="true">IF(OR(D313="",R313="Cancelled"),"",IF(H313="","NO QTY",IF(AND(L313="Buy",E313=""),"NO PART NO",IF(AND(W313&lt;&gt;"",NOT(OR(R313="Received",R313="NSW Purchased")),W313&lt;TODAY()),"OVERDUE",IF(AND(W313&lt;&gt;"",Q313&lt;&gt;"",W313&gt;Q313),"LATE vs REQ",IF(AND(R313="Finalized – Not Purchased",T313=""),"NEED PR",IF(AND(Y313&lt;&gt;"",Y313&lt;J313),"SHORT","")))))))</f>
        <v/>
      </c>
      <c r="AG313" s="35"/>
    </row>
    <row r="314" customFormat="false" ht="15" hidden="false" customHeight="false" outlineLevel="0" collapsed="false">
      <c r="A314" s="34" t="str">
        <f aca="false">IF(B314="","",LEFT(B314,3)&amp;"-"&amp;TEXT(COUNTIF(B$11:B314,B314),"00"))</f>
        <v/>
      </c>
      <c r="B314" s="35"/>
      <c r="C314" s="35"/>
      <c r="D314" s="35"/>
      <c r="E314" s="35"/>
      <c r="F314" s="35"/>
      <c r="G314" s="35"/>
      <c r="H314" s="35"/>
      <c r="I314" s="35"/>
      <c r="J314" s="34" t="str">
        <f aca="false">IF(H314="","",H314*IF(I314="",1,I314))</f>
        <v/>
      </c>
      <c r="K314" s="35"/>
      <c r="L314" s="35"/>
      <c r="M314" s="35"/>
      <c r="N314" s="35"/>
      <c r="O314" s="35"/>
      <c r="P314" s="36"/>
      <c r="Q314" s="36"/>
      <c r="R314" s="35"/>
      <c r="S314" s="35"/>
      <c r="T314" s="35"/>
      <c r="U314" s="35"/>
      <c r="V314" s="36"/>
      <c r="W314" s="36"/>
      <c r="X314" s="35"/>
      <c r="Y314" s="35"/>
      <c r="Z314" s="36"/>
      <c r="AA314" s="37"/>
      <c r="AB314" s="38" t="str">
        <f aca="false">IF(OR(AA314="",J314=""),"",AA314*J314)</f>
        <v/>
      </c>
      <c r="AC314" s="35"/>
      <c r="AD314" s="35"/>
      <c r="AE314" s="36"/>
      <c r="AF314" s="34" t="str">
        <f aca="true">IF(OR(D314="",R314="Cancelled"),"",IF(H314="","NO QTY",IF(AND(L314="Buy",E314=""),"NO PART NO",IF(AND(W314&lt;&gt;"",NOT(OR(R314="Received",R314="NSW Purchased")),W314&lt;TODAY()),"OVERDUE",IF(AND(W314&lt;&gt;"",Q314&lt;&gt;"",W314&gt;Q314),"LATE vs REQ",IF(AND(R314="Finalized – Not Purchased",T314=""),"NEED PR",IF(AND(Y314&lt;&gt;"",Y314&lt;J314),"SHORT","")))))))</f>
        <v/>
      </c>
      <c r="AG314" s="35"/>
    </row>
    <row r="315" customFormat="false" ht="15" hidden="false" customHeight="false" outlineLevel="0" collapsed="false">
      <c r="A315" s="34" t="str">
        <f aca="false">IF(B315="","",LEFT(B315,3)&amp;"-"&amp;TEXT(COUNTIF(B$11:B315,B315),"00"))</f>
        <v/>
      </c>
      <c r="B315" s="35"/>
      <c r="C315" s="35"/>
      <c r="D315" s="35"/>
      <c r="E315" s="35"/>
      <c r="F315" s="35"/>
      <c r="G315" s="35"/>
      <c r="H315" s="35"/>
      <c r="I315" s="35"/>
      <c r="J315" s="34" t="str">
        <f aca="false">IF(H315="","",H315*IF(I315="",1,I315))</f>
        <v/>
      </c>
      <c r="K315" s="35"/>
      <c r="L315" s="35"/>
      <c r="M315" s="35"/>
      <c r="N315" s="35"/>
      <c r="O315" s="35"/>
      <c r="P315" s="36"/>
      <c r="Q315" s="36"/>
      <c r="R315" s="35"/>
      <c r="S315" s="35"/>
      <c r="T315" s="35"/>
      <c r="U315" s="35"/>
      <c r="V315" s="36"/>
      <c r="W315" s="36"/>
      <c r="X315" s="35"/>
      <c r="Y315" s="35"/>
      <c r="Z315" s="36"/>
      <c r="AA315" s="37"/>
      <c r="AB315" s="38" t="str">
        <f aca="false">IF(OR(AA315="",J315=""),"",AA315*J315)</f>
        <v/>
      </c>
      <c r="AC315" s="35"/>
      <c r="AD315" s="35"/>
      <c r="AE315" s="36"/>
      <c r="AF315" s="34" t="str">
        <f aca="true">IF(OR(D315="",R315="Cancelled"),"",IF(H315="","NO QTY",IF(AND(L315="Buy",E315=""),"NO PART NO",IF(AND(W315&lt;&gt;"",NOT(OR(R315="Received",R315="NSW Purchased")),W315&lt;TODAY()),"OVERDUE",IF(AND(W315&lt;&gt;"",Q315&lt;&gt;"",W315&gt;Q315),"LATE vs REQ",IF(AND(R315="Finalized – Not Purchased",T315=""),"NEED PR",IF(AND(Y315&lt;&gt;"",Y315&lt;J315),"SHORT","")))))))</f>
        <v/>
      </c>
      <c r="AG315" s="35"/>
    </row>
    <row r="316" customFormat="false" ht="15" hidden="false" customHeight="false" outlineLevel="0" collapsed="false">
      <c r="A316" s="34" t="str">
        <f aca="false">IF(B316="","",LEFT(B316,3)&amp;"-"&amp;TEXT(COUNTIF(B$11:B316,B316),"00"))</f>
        <v/>
      </c>
      <c r="B316" s="35"/>
      <c r="C316" s="35"/>
      <c r="D316" s="35"/>
      <c r="E316" s="35"/>
      <c r="F316" s="35"/>
      <c r="G316" s="35"/>
      <c r="H316" s="35"/>
      <c r="I316" s="35"/>
      <c r="J316" s="34" t="str">
        <f aca="false">IF(H316="","",H316*IF(I316="",1,I316))</f>
        <v/>
      </c>
      <c r="K316" s="35"/>
      <c r="L316" s="35"/>
      <c r="M316" s="35"/>
      <c r="N316" s="35"/>
      <c r="O316" s="35"/>
      <c r="P316" s="36"/>
      <c r="Q316" s="36"/>
      <c r="R316" s="35"/>
      <c r="S316" s="35"/>
      <c r="T316" s="35"/>
      <c r="U316" s="35"/>
      <c r="V316" s="36"/>
      <c r="W316" s="36"/>
      <c r="X316" s="35"/>
      <c r="Y316" s="35"/>
      <c r="Z316" s="36"/>
      <c r="AA316" s="37"/>
      <c r="AB316" s="38" t="str">
        <f aca="false">IF(OR(AA316="",J316=""),"",AA316*J316)</f>
        <v/>
      </c>
      <c r="AC316" s="35"/>
      <c r="AD316" s="35"/>
      <c r="AE316" s="36"/>
      <c r="AF316" s="34" t="str">
        <f aca="true">IF(OR(D316="",R316="Cancelled"),"",IF(H316="","NO QTY",IF(AND(L316="Buy",E316=""),"NO PART NO",IF(AND(W316&lt;&gt;"",NOT(OR(R316="Received",R316="NSW Purchased")),W316&lt;TODAY()),"OVERDUE",IF(AND(W316&lt;&gt;"",Q316&lt;&gt;"",W316&gt;Q316),"LATE vs REQ",IF(AND(R316="Finalized – Not Purchased",T316=""),"NEED PR",IF(AND(Y316&lt;&gt;"",Y316&lt;J316),"SHORT","")))))))</f>
        <v/>
      </c>
      <c r="AG316" s="35"/>
    </row>
    <row r="317" customFormat="false" ht="15" hidden="false" customHeight="false" outlineLevel="0" collapsed="false">
      <c r="A317" s="34" t="str">
        <f aca="false">IF(B317="","",LEFT(B317,3)&amp;"-"&amp;TEXT(COUNTIF(B$11:B317,B317),"00"))</f>
        <v/>
      </c>
      <c r="B317" s="35"/>
      <c r="C317" s="35"/>
      <c r="D317" s="35"/>
      <c r="E317" s="35"/>
      <c r="F317" s="35"/>
      <c r="G317" s="35"/>
      <c r="H317" s="35"/>
      <c r="I317" s="35"/>
      <c r="J317" s="34" t="str">
        <f aca="false">IF(H317="","",H317*IF(I317="",1,I317))</f>
        <v/>
      </c>
      <c r="K317" s="35"/>
      <c r="L317" s="35"/>
      <c r="M317" s="35"/>
      <c r="N317" s="35"/>
      <c r="O317" s="35"/>
      <c r="P317" s="36"/>
      <c r="Q317" s="36"/>
      <c r="R317" s="35"/>
      <c r="S317" s="35"/>
      <c r="T317" s="35"/>
      <c r="U317" s="35"/>
      <c r="V317" s="36"/>
      <c r="W317" s="36"/>
      <c r="X317" s="35"/>
      <c r="Y317" s="35"/>
      <c r="Z317" s="36"/>
      <c r="AA317" s="37"/>
      <c r="AB317" s="38" t="str">
        <f aca="false">IF(OR(AA317="",J317=""),"",AA317*J317)</f>
        <v/>
      </c>
      <c r="AC317" s="35"/>
      <c r="AD317" s="35"/>
      <c r="AE317" s="36"/>
      <c r="AF317" s="34" t="str">
        <f aca="true">IF(OR(D317="",R317="Cancelled"),"",IF(H317="","NO QTY",IF(AND(L317="Buy",E317=""),"NO PART NO",IF(AND(W317&lt;&gt;"",NOT(OR(R317="Received",R317="NSW Purchased")),W317&lt;TODAY()),"OVERDUE",IF(AND(W317&lt;&gt;"",Q317&lt;&gt;"",W317&gt;Q317),"LATE vs REQ",IF(AND(R317="Finalized – Not Purchased",T317=""),"NEED PR",IF(AND(Y317&lt;&gt;"",Y317&lt;J317),"SHORT","")))))))</f>
        <v/>
      </c>
      <c r="AG317" s="35"/>
    </row>
    <row r="318" customFormat="false" ht="15" hidden="false" customHeight="false" outlineLevel="0" collapsed="false">
      <c r="A318" s="34" t="str">
        <f aca="false">IF(B318="","",LEFT(B318,3)&amp;"-"&amp;TEXT(COUNTIF(B$11:B318,B318),"00"))</f>
        <v/>
      </c>
      <c r="B318" s="35"/>
      <c r="C318" s="35"/>
      <c r="D318" s="35"/>
      <c r="E318" s="35"/>
      <c r="F318" s="35"/>
      <c r="G318" s="35"/>
      <c r="H318" s="35"/>
      <c r="I318" s="35"/>
      <c r="J318" s="34" t="str">
        <f aca="false">IF(H318="","",H318*IF(I318="",1,I318))</f>
        <v/>
      </c>
      <c r="K318" s="35"/>
      <c r="L318" s="35"/>
      <c r="M318" s="35"/>
      <c r="N318" s="35"/>
      <c r="O318" s="35"/>
      <c r="P318" s="36"/>
      <c r="Q318" s="36"/>
      <c r="R318" s="35"/>
      <c r="S318" s="35"/>
      <c r="T318" s="35"/>
      <c r="U318" s="35"/>
      <c r="V318" s="36"/>
      <c r="W318" s="36"/>
      <c r="X318" s="35"/>
      <c r="Y318" s="35"/>
      <c r="Z318" s="36"/>
      <c r="AA318" s="37"/>
      <c r="AB318" s="38" t="str">
        <f aca="false">IF(OR(AA318="",J318=""),"",AA318*J318)</f>
        <v/>
      </c>
      <c r="AC318" s="35"/>
      <c r="AD318" s="35"/>
      <c r="AE318" s="36"/>
      <c r="AF318" s="34" t="str">
        <f aca="true">IF(OR(D318="",R318="Cancelled"),"",IF(H318="","NO QTY",IF(AND(L318="Buy",E318=""),"NO PART NO",IF(AND(W318&lt;&gt;"",NOT(OR(R318="Received",R318="NSW Purchased")),W318&lt;TODAY()),"OVERDUE",IF(AND(W318&lt;&gt;"",Q318&lt;&gt;"",W318&gt;Q318),"LATE vs REQ",IF(AND(R318="Finalized – Not Purchased",T318=""),"NEED PR",IF(AND(Y318&lt;&gt;"",Y318&lt;J318),"SHORT","")))))))</f>
        <v/>
      </c>
      <c r="AG318" s="35"/>
    </row>
    <row r="319" customFormat="false" ht="15" hidden="false" customHeight="false" outlineLevel="0" collapsed="false">
      <c r="A319" s="34" t="str">
        <f aca="false">IF(B319="","",LEFT(B319,3)&amp;"-"&amp;TEXT(COUNTIF(B$11:B319,B319),"00"))</f>
        <v/>
      </c>
      <c r="B319" s="35"/>
      <c r="C319" s="35"/>
      <c r="D319" s="35"/>
      <c r="E319" s="35"/>
      <c r="F319" s="35"/>
      <c r="G319" s="35"/>
      <c r="H319" s="35"/>
      <c r="I319" s="35"/>
      <c r="J319" s="34" t="str">
        <f aca="false">IF(H319="","",H319*IF(I319="",1,I319))</f>
        <v/>
      </c>
      <c r="K319" s="35"/>
      <c r="L319" s="35"/>
      <c r="M319" s="35"/>
      <c r="N319" s="35"/>
      <c r="O319" s="35"/>
      <c r="P319" s="36"/>
      <c r="Q319" s="36"/>
      <c r="R319" s="35"/>
      <c r="S319" s="35"/>
      <c r="T319" s="35"/>
      <c r="U319" s="35"/>
      <c r="V319" s="36"/>
      <c r="W319" s="36"/>
      <c r="X319" s="35"/>
      <c r="Y319" s="35"/>
      <c r="Z319" s="36"/>
      <c r="AA319" s="37"/>
      <c r="AB319" s="38" t="str">
        <f aca="false">IF(OR(AA319="",J319=""),"",AA319*J319)</f>
        <v/>
      </c>
      <c r="AC319" s="35"/>
      <c r="AD319" s="35"/>
      <c r="AE319" s="36"/>
      <c r="AF319" s="34" t="str">
        <f aca="true">IF(OR(D319="",R319="Cancelled"),"",IF(H319="","NO QTY",IF(AND(L319="Buy",E319=""),"NO PART NO",IF(AND(W319&lt;&gt;"",NOT(OR(R319="Received",R319="NSW Purchased")),W319&lt;TODAY()),"OVERDUE",IF(AND(W319&lt;&gt;"",Q319&lt;&gt;"",W319&gt;Q319),"LATE vs REQ",IF(AND(R319="Finalized – Not Purchased",T319=""),"NEED PR",IF(AND(Y319&lt;&gt;"",Y319&lt;J319),"SHORT","")))))))</f>
        <v/>
      </c>
      <c r="AG319" s="35"/>
    </row>
    <row r="320" customFormat="false" ht="15" hidden="false" customHeight="false" outlineLevel="0" collapsed="false">
      <c r="A320" s="34" t="str">
        <f aca="false">IF(B320="","",LEFT(B320,3)&amp;"-"&amp;TEXT(COUNTIF(B$11:B320,B320),"00"))</f>
        <v/>
      </c>
      <c r="B320" s="35"/>
      <c r="C320" s="35"/>
      <c r="D320" s="35"/>
      <c r="E320" s="35"/>
      <c r="F320" s="35"/>
      <c r="G320" s="35"/>
      <c r="H320" s="35"/>
      <c r="I320" s="35"/>
      <c r="J320" s="34" t="str">
        <f aca="false">IF(H320="","",H320*IF(I320="",1,I320))</f>
        <v/>
      </c>
      <c r="K320" s="35"/>
      <c r="L320" s="35"/>
      <c r="M320" s="35"/>
      <c r="N320" s="35"/>
      <c r="O320" s="35"/>
      <c r="P320" s="36"/>
      <c r="Q320" s="36"/>
      <c r="R320" s="35"/>
      <c r="S320" s="35"/>
      <c r="T320" s="35"/>
      <c r="U320" s="35"/>
      <c r="V320" s="36"/>
      <c r="W320" s="36"/>
      <c r="X320" s="35"/>
      <c r="Y320" s="35"/>
      <c r="Z320" s="36"/>
      <c r="AA320" s="37"/>
      <c r="AB320" s="38" t="str">
        <f aca="false">IF(OR(AA320="",J320=""),"",AA320*J320)</f>
        <v/>
      </c>
      <c r="AC320" s="35"/>
      <c r="AD320" s="35"/>
      <c r="AE320" s="36"/>
      <c r="AF320" s="34" t="str">
        <f aca="true">IF(OR(D320="",R320="Cancelled"),"",IF(H320="","NO QTY",IF(AND(L320="Buy",E320=""),"NO PART NO",IF(AND(W320&lt;&gt;"",NOT(OR(R320="Received",R320="NSW Purchased")),W320&lt;TODAY()),"OVERDUE",IF(AND(W320&lt;&gt;"",Q320&lt;&gt;"",W320&gt;Q320),"LATE vs REQ",IF(AND(R320="Finalized – Not Purchased",T320=""),"NEED PR",IF(AND(Y320&lt;&gt;"",Y320&lt;J320),"SHORT","")))))))</f>
        <v/>
      </c>
      <c r="AG320" s="35"/>
    </row>
    <row r="321" customFormat="false" ht="15" hidden="false" customHeight="false" outlineLevel="0" collapsed="false">
      <c r="A321" s="34" t="str">
        <f aca="false">IF(B321="","",LEFT(B321,3)&amp;"-"&amp;TEXT(COUNTIF(B$11:B321,B321),"00"))</f>
        <v/>
      </c>
      <c r="B321" s="35"/>
      <c r="C321" s="35"/>
      <c r="D321" s="35"/>
      <c r="E321" s="35"/>
      <c r="F321" s="35"/>
      <c r="G321" s="35"/>
      <c r="H321" s="35"/>
      <c r="I321" s="35"/>
      <c r="J321" s="34" t="str">
        <f aca="false">IF(H321="","",H321*IF(I321="",1,I321))</f>
        <v/>
      </c>
      <c r="K321" s="35"/>
      <c r="L321" s="35"/>
      <c r="M321" s="35"/>
      <c r="N321" s="35"/>
      <c r="O321" s="35"/>
      <c r="P321" s="36"/>
      <c r="Q321" s="36"/>
      <c r="R321" s="35"/>
      <c r="S321" s="35"/>
      <c r="T321" s="35"/>
      <c r="U321" s="35"/>
      <c r="V321" s="36"/>
      <c r="W321" s="36"/>
      <c r="X321" s="35"/>
      <c r="Y321" s="35"/>
      <c r="Z321" s="36"/>
      <c r="AA321" s="37"/>
      <c r="AB321" s="38" t="str">
        <f aca="false">IF(OR(AA321="",J321=""),"",AA321*J321)</f>
        <v/>
      </c>
      <c r="AC321" s="35"/>
      <c r="AD321" s="35"/>
      <c r="AE321" s="36"/>
      <c r="AF321" s="34" t="str">
        <f aca="true">IF(OR(D321="",R321="Cancelled"),"",IF(H321="","NO QTY",IF(AND(L321="Buy",E321=""),"NO PART NO",IF(AND(W321&lt;&gt;"",NOT(OR(R321="Received",R321="NSW Purchased")),W321&lt;TODAY()),"OVERDUE",IF(AND(W321&lt;&gt;"",Q321&lt;&gt;"",W321&gt;Q321),"LATE vs REQ",IF(AND(R321="Finalized – Not Purchased",T321=""),"NEED PR",IF(AND(Y321&lt;&gt;"",Y321&lt;J321),"SHORT","")))))))</f>
        <v/>
      </c>
      <c r="AG321" s="35"/>
    </row>
    <row r="322" customFormat="false" ht="15" hidden="false" customHeight="false" outlineLevel="0" collapsed="false">
      <c r="A322" s="34" t="str">
        <f aca="false">IF(B322="","",LEFT(B322,3)&amp;"-"&amp;TEXT(COUNTIF(B$11:B322,B322),"00"))</f>
        <v/>
      </c>
      <c r="B322" s="35"/>
      <c r="C322" s="35"/>
      <c r="D322" s="35"/>
      <c r="E322" s="35"/>
      <c r="F322" s="35"/>
      <c r="G322" s="35"/>
      <c r="H322" s="35"/>
      <c r="I322" s="35"/>
      <c r="J322" s="34" t="str">
        <f aca="false">IF(H322="","",H322*IF(I322="",1,I322))</f>
        <v/>
      </c>
      <c r="K322" s="35"/>
      <c r="L322" s="35"/>
      <c r="M322" s="35"/>
      <c r="N322" s="35"/>
      <c r="O322" s="35"/>
      <c r="P322" s="36"/>
      <c r="Q322" s="36"/>
      <c r="R322" s="35"/>
      <c r="S322" s="35"/>
      <c r="T322" s="35"/>
      <c r="U322" s="35"/>
      <c r="V322" s="36"/>
      <c r="W322" s="36"/>
      <c r="X322" s="35"/>
      <c r="Y322" s="35"/>
      <c r="Z322" s="36"/>
      <c r="AA322" s="37"/>
      <c r="AB322" s="38" t="str">
        <f aca="false">IF(OR(AA322="",J322=""),"",AA322*J322)</f>
        <v/>
      </c>
      <c r="AC322" s="35"/>
      <c r="AD322" s="35"/>
      <c r="AE322" s="36"/>
      <c r="AF322" s="34" t="str">
        <f aca="true">IF(OR(D322="",R322="Cancelled"),"",IF(H322="","NO QTY",IF(AND(L322="Buy",E322=""),"NO PART NO",IF(AND(W322&lt;&gt;"",NOT(OR(R322="Received",R322="NSW Purchased")),W322&lt;TODAY()),"OVERDUE",IF(AND(W322&lt;&gt;"",Q322&lt;&gt;"",W322&gt;Q322),"LATE vs REQ",IF(AND(R322="Finalized – Not Purchased",T322=""),"NEED PR",IF(AND(Y322&lt;&gt;"",Y322&lt;J322),"SHORT","")))))))</f>
        <v/>
      </c>
      <c r="AG322" s="35"/>
    </row>
    <row r="323" customFormat="false" ht="15" hidden="false" customHeight="false" outlineLevel="0" collapsed="false">
      <c r="A323" s="34" t="str">
        <f aca="false">IF(B323="","",LEFT(B323,3)&amp;"-"&amp;TEXT(COUNTIF(B$11:B323,B323),"00"))</f>
        <v/>
      </c>
      <c r="B323" s="35"/>
      <c r="C323" s="35"/>
      <c r="D323" s="35"/>
      <c r="E323" s="35"/>
      <c r="F323" s="35"/>
      <c r="G323" s="35"/>
      <c r="H323" s="35"/>
      <c r="I323" s="35"/>
      <c r="J323" s="34" t="str">
        <f aca="false">IF(H323="","",H323*IF(I323="",1,I323))</f>
        <v/>
      </c>
      <c r="K323" s="35"/>
      <c r="L323" s="35"/>
      <c r="M323" s="35"/>
      <c r="N323" s="35"/>
      <c r="O323" s="35"/>
      <c r="P323" s="36"/>
      <c r="Q323" s="36"/>
      <c r="R323" s="35"/>
      <c r="S323" s="35"/>
      <c r="T323" s="35"/>
      <c r="U323" s="35"/>
      <c r="V323" s="36"/>
      <c r="W323" s="36"/>
      <c r="X323" s="35"/>
      <c r="Y323" s="35"/>
      <c r="Z323" s="36"/>
      <c r="AA323" s="37"/>
      <c r="AB323" s="38" t="str">
        <f aca="false">IF(OR(AA323="",J323=""),"",AA323*J323)</f>
        <v/>
      </c>
      <c r="AC323" s="35"/>
      <c r="AD323" s="35"/>
      <c r="AE323" s="36"/>
      <c r="AF323" s="34" t="str">
        <f aca="true">IF(OR(D323="",R323="Cancelled"),"",IF(H323="","NO QTY",IF(AND(L323="Buy",E323=""),"NO PART NO",IF(AND(W323&lt;&gt;"",NOT(OR(R323="Received",R323="NSW Purchased")),W323&lt;TODAY()),"OVERDUE",IF(AND(W323&lt;&gt;"",Q323&lt;&gt;"",W323&gt;Q323),"LATE vs REQ",IF(AND(R323="Finalized – Not Purchased",T323=""),"NEED PR",IF(AND(Y323&lt;&gt;"",Y323&lt;J323),"SHORT","")))))))</f>
        <v/>
      </c>
      <c r="AG323" s="35"/>
    </row>
    <row r="324" customFormat="false" ht="15" hidden="false" customHeight="false" outlineLevel="0" collapsed="false">
      <c r="A324" s="34" t="str">
        <f aca="false">IF(B324="","",LEFT(B324,3)&amp;"-"&amp;TEXT(COUNTIF(B$11:B324,B324),"00"))</f>
        <v/>
      </c>
      <c r="B324" s="35"/>
      <c r="C324" s="35"/>
      <c r="D324" s="35"/>
      <c r="E324" s="35"/>
      <c r="F324" s="35"/>
      <c r="G324" s="35"/>
      <c r="H324" s="35"/>
      <c r="I324" s="35"/>
      <c r="J324" s="34" t="str">
        <f aca="false">IF(H324="","",H324*IF(I324="",1,I324))</f>
        <v/>
      </c>
      <c r="K324" s="35"/>
      <c r="L324" s="35"/>
      <c r="M324" s="35"/>
      <c r="N324" s="35"/>
      <c r="O324" s="35"/>
      <c r="P324" s="36"/>
      <c r="Q324" s="36"/>
      <c r="R324" s="35"/>
      <c r="S324" s="35"/>
      <c r="T324" s="35"/>
      <c r="U324" s="35"/>
      <c r="V324" s="36"/>
      <c r="W324" s="36"/>
      <c r="X324" s="35"/>
      <c r="Y324" s="35"/>
      <c r="Z324" s="36"/>
      <c r="AA324" s="37"/>
      <c r="AB324" s="38" t="str">
        <f aca="false">IF(OR(AA324="",J324=""),"",AA324*J324)</f>
        <v/>
      </c>
      <c r="AC324" s="35"/>
      <c r="AD324" s="35"/>
      <c r="AE324" s="36"/>
      <c r="AF324" s="34" t="str">
        <f aca="true">IF(OR(D324="",R324="Cancelled"),"",IF(H324="","NO QTY",IF(AND(L324="Buy",E324=""),"NO PART NO",IF(AND(W324&lt;&gt;"",NOT(OR(R324="Received",R324="NSW Purchased")),W324&lt;TODAY()),"OVERDUE",IF(AND(W324&lt;&gt;"",Q324&lt;&gt;"",W324&gt;Q324),"LATE vs REQ",IF(AND(R324="Finalized – Not Purchased",T324=""),"NEED PR",IF(AND(Y324&lt;&gt;"",Y324&lt;J324),"SHORT","")))))))</f>
        <v/>
      </c>
      <c r="AG324" s="35"/>
    </row>
    <row r="325" customFormat="false" ht="15" hidden="false" customHeight="false" outlineLevel="0" collapsed="false">
      <c r="A325" s="34" t="str">
        <f aca="false">IF(B325="","",LEFT(B325,3)&amp;"-"&amp;TEXT(COUNTIF(B$11:B325,B325),"00"))</f>
        <v/>
      </c>
      <c r="B325" s="35"/>
      <c r="C325" s="35"/>
      <c r="D325" s="35"/>
      <c r="E325" s="35"/>
      <c r="F325" s="35"/>
      <c r="G325" s="35"/>
      <c r="H325" s="35"/>
      <c r="I325" s="35"/>
      <c r="J325" s="34" t="str">
        <f aca="false">IF(H325="","",H325*IF(I325="",1,I325))</f>
        <v/>
      </c>
      <c r="K325" s="35"/>
      <c r="L325" s="35"/>
      <c r="M325" s="35"/>
      <c r="N325" s="35"/>
      <c r="O325" s="35"/>
      <c r="P325" s="36"/>
      <c r="Q325" s="36"/>
      <c r="R325" s="35"/>
      <c r="S325" s="35"/>
      <c r="T325" s="35"/>
      <c r="U325" s="35"/>
      <c r="V325" s="36"/>
      <c r="W325" s="36"/>
      <c r="X325" s="35"/>
      <c r="Y325" s="35"/>
      <c r="Z325" s="36"/>
      <c r="AA325" s="37"/>
      <c r="AB325" s="38" t="str">
        <f aca="false">IF(OR(AA325="",J325=""),"",AA325*J325)</f>
        <v/>
      </c>
      <c r="AC325" s="35"/>
      <c r="AD325" s="35"/>
      <c r="AE325" s="36"/>
      <c r="AF325" s="34" t="str">
        <f aca="true">IF(OR(D325="",R325="Cancelled"),"",IF(H325="","NO QTY",IF(AND(L325="Buy",E325=""),"NO PART NO",IF(AND(W325&lt;&gt;"",NOT(OR(R325="Received",R325="NSW Purchased")),W325&lt;TODAY()),"OVERDUE",IF(AND(W325&lt;&gt;"",Q325&lt;&gt;"",W325&gt;Q325),"LATE vs REQ",IF(AND(R325="Finalized – Not Purchased",T325=""),"NEED PR",IF(AND(Y325&lt;&gt;"",Y325&lt;J325),"SHORT","")))))))</f>
        <v/>
      </c>
      <c r="AG325" s="35"/>
    </row>
    <row r="326" customFormat="false" ht="15" hidden="false" customHeight="false" outlineLevel="0" collapsed="false">
      <c r="A326" s="34" t="str">
        <f aca="false">IF(B326="","",LEFT(B326,3)&amp;"-"&amp;TEXT(COUNTIF(B$11:B326,B326),"00"))</f>
        <v/>
      </c>
      <c r="B326" s="35"/>
      <c r="C326" s="35"/>
      <c r="D326" s="35"/>
      <c r="E326" s="35"/>
      <c r="F326" s="35"/>
      <c r="G326" s="35"/>
      <c r="H326" s="35"/>
      <c r="I326" s="35"/>
      <c r="J326" s="34" t="str">
        <f aca="false">IF(H326="","",H326*IF(I326="",1,I326))</f>
        <v/>
      </c>
      <c r="K326" s="35"/>
      <c r="L326" s="35"/>
      <c r="M326" s="35"/>
      <c r="N326" s="35"/>
      <c r="O326" s="35"/>
      <c r="P326" s="36"/>
      <c r="Q326" s="36"/>
      <c r="R326" s="35"/>
      <c r="S326" s="35"/>
      <c r="T326" s="35"/>
      <c r="U326" s="35"/>
      <c r="V326" s="36"/>
      <c r="W326" s="36"/>
      <c r="X326" s="35"/>
      <c r="Y326" s="35"/>
      <c r="Z326" s="36"/>
      <c r="AA326" s="37"/>
      <c r="AB326" s="38" t="str">
        <f aca="false">IF(OR(AA326="",J326=""),"",AA326*J326)</f>
        <v/>
      </c>
      <c r="AC326" s="35"/>
      <c r="AD326" s="35"/>
      <c r="AE326" s="36"/>
      <c r="AF326" s="34" t="str">
        <f aca="true">IF(OR(D326="",R326="Cancelled"),"",IF(H326="","NO QTY",IF(AND(L326="Buy",E326=""),"NO PART NO",IF(AND(W326&lt;&gt;"",NOT(OR(R326="Received",R326="NSW Purchased")),W326&lt;TODAY()),"OVERDUE",IF(AND(W326&lt;&gt;"",Q326&lt;&gt;"",W326&gt;Q326),"LATE vs REQ",IF(AND(R326="Finalized – Not Purchased",T326=""),"NEED PR",IF(AND(Y326&lt;&gt;"",Y326&lt;J326),"SHORT","")))))))</f>
        <v/>
      </c>
      <c r="AG326" s="35"/>
    </row>
    <row r="327" customFormat="false" ht="15" hidden="false" customHeight="false" outlineLevel="0" collapsed="false">
      <c r="A327" s="34" t="str">
        <f aca="false">IF(B327="","",LEFT(B327,3)&amp;"-"&amp;TEXT(COUNTIF(B$11:B327,B327),"00"))</f>
        <v/>
      </c>
      <c r="B327" s="35"/>
      <c r="C327" s="35"/>
      <c r="D327" s="35"/>
      <c r="E327" s="35"/>
      <c r="F327" s="35"/>
      <c r="G327" s="35"/>
      <c r="H327" s="35"/>
      <c r="I327" s="35"/>
      <c r="J327" s="34" t="str">
        <f aca="false">IF(H327="","",H327*IF(I327="",1,I327))</f>
        <v/>
      </c>
      <c r="K327" s="35"/>
      <c r="L327" s="35"/>
      <c r="M327" s="35"/>
      <c r="N327" s="35"/>
      <c r="O327" s="35"/>
      <c r="P327" s="36"/>
      <c r="Q327" s="36"/>
      <c r="R327" s="35"/>
      <c r="S327" s="35"/>
      <c r="T327" s="35"/>
      <c r="U327" s="35"/>
      <c r="V327" s="36"/>
      <c r="W327" s="36"/>
      <c r="X327" s="35"/>
      <c r="Y327" s="35"/>
      <c r="Z327" s="36"/>
      <c r="AA327" s="37"/>
      <c r="AB327" s="38" t="str">
        <f aca="false">IF(OR(AA327="",J327=""),"",AA327*J327)</f>
        <v/>
      </c>
      <c r="AC327" s="35"/>
      <c r="AD327" s="35"/>
      <c r="AE327" s="36"/>
      <c r="AF327" s="34" t="str">
        <f aca="true">IF(OR(D327="",R327="Cancelled"),"",IF(H327="","NO QTY",IF(AND(L327="Buy",E327=""),"NO PART NO",IF(AND(W327&lt;&gt;"",NOT(OR(R327="Received",R327="NSW Purchased")),W327&lt;TODAY()),"OVERDUE",IF(AND(W327&lt;&gt;"",Q327&lt;&gt;"",W327&gt;Q327),"LATE vs REQ",IF(AND(R327="Finalized – Not Purchased",T327=""),"NEED PR",IF(AND(Y327&lt;&gt;"",Y327&lt;J327),"SHORT","")))))))</f>
        <v/>
      </c>
      <c r="AG327" s="35"/>
    </row>
    <row r="328" customFormat="false" ht="15" hidden="false" customHeight="false" outlineLevel="0" collapsed="false">
      <c r="A328" s="34" t="str">
        <f aca="false">IF(B328="","",LEFT(B328,3)&amp;"-"&amp;TEXT(COUNTIF(B$11:B328,B328),"00"))</f>
        <v/>
      </c>
      <c r="B328" s="35"/>
      <c r="C328" s="35"/>
      <c r="D328" s="35"/>
      <c r="E328" s="35"/>
      <c r="F328" s="35"/>
      <c r="G328" s="35"/>
      <c r="H328" s="35"/>
      <c r="I328" s="35"/>
      <c r="J328" s="34" t="str">
        <f aca="false">IF(H328="","",H328*IF(I328="",1,I328))</f>
        <v/>
      </c>
      <c r="K328" s="35"/>
      <c r="L328" s="35"/>
      <c r="M328" s="35"/>
      <c r="N328" s="35"/>
      <c r="O328" s="35"/>
      <c r="P328" s="36"/>
      <c r="Q328" s="36"/>
      <c r="R328" s="35"/>
      <c r="S328" s="35"/>
      <c r="T328" s="35"/>
      <c r="U328" s="35"/>
      <c r="V328" s="36"/>
      <c r="W328" s="36"/>
      <c r="X328" s="35"/>
      <c r="Y328" s="35"/>
      <c r="Z328" s="36"/>
      <c r="AA328" s="37"/>
      <c r="AB328" s="38" t="str">
        <f aca="false">IF(OR(AA328="",J328=""),"",AA328*J328)</f>
        <v/>
      </c>
      <c r="AC328" s="35"/>
      <c r="AD328" s="35"/>
      <c r="AE328" s="36"/>
      <c r="AF328" s="34" t="str">
        <f aca="true">IF(OR(D328="",R328="Cancelled"),"",IF(H328="","NO QTY",IF(AND(L328="Buy",E328=""),"NO PART NO",IF(AND(W328&lt;&gt;"",NOT(OR(R328="Received",R328="NSW Purchased")),W328&lt;TODAY()),"OVERDUE",IF(AND(W328&lt;&gt;"",Q328&lt;&gt;"",W328&gt;Q328),"LATE vs REQ",IF(AND(R328="Finalized – Not Purchased",T328=""),"NEED PR",IF(AND(Y328&lt;&gt;"",Y328&lt;J328),"SHORT","")))))))</f>
        <v/>
      </c>
      <c r="AG328" s="35"/>
    </row>
    <row r="329" customFormat="false" ht="15" hidden="false" customHeight="false" outlineLevel="0" collapsed="false">
      <c r="A329" s="34" t="str">
        <f aca="false">IF(B329="","",LEFT(B329,3)&amp;"-"&amp;TEXT(COUNTIF(B$11:B329,B329),"00"))</f>
        <v/>
      </c>
      <c r="B329" s="35"/>
      <c r="C329" s="35"/>
      <c r="D329" s="35"/>
      <c r="E329" s="35"/>
      <c r="F329" s="35"/>
      <c r="G329" s="35"/>
      <c r="H329" s="35"/>
      <c r="I329" s="35"/>
      <c r="J329" s="34" t="str">
        <f aca="false">IF(H329="","",H329*IF(I329="",1,I329))</f>
        <v/>
      </c>
      <c r="K329" s="35"/>
      <c r="L329" s="35"/>
      <c r="M329" s="35"/>
      <c r="N329" s="35"/>
      <c r="O329" s="35"/>
      <c r="P329" s="36"/>
      <c r="Q329" s="36"/>
      <c r="R329" s="35"/>
      <c r="S329" s="35"/>
      <c r="T329" s="35"/>
      <c r="U329" s="35"/>
      <c r="V329" s="36"/>
      <c r="W329" s="36"/>
      <c r="X329" s="35"/>
      <c r="Y329" s="35"/>
      <c r="Z329" s="36"/>
      <c r="AA329" s="37"/>
      <c r="AB329" s="38" t="str">
        <f aca="false">IF(OR(AA329="",J329=""),"",AA329*J329)</f>
        <v/>
      </c>
      <c r="AC329" s="35"/>
      <c r="AD329" s="35"/>
      <c r="AE329" s="36"/>
      <c r="AF329" s="34" t="str">
        <f aca="true">IF(OR(D329="",R329="Cancelled"),"",IF(H329="","NO QTY",IF(AND(L329="Buy",E329=""),"NO PART NO",IF(AND(W329&lt;&gt;"",NOT(OR(R329="Received",R329="NSW Purchased")),W329&lt;TODAY()),"OVERDUE",IF(AND(W329&lt;&gt;"",Q329&lt;&gt;"",W329&gt;Q329),"LATE vs REQ",IF(AND(R329="Finalized – Not Purchased",T329=""),"NEED PR",IF(AND(Y329&lt;&gt;"",Y329&lt;J329),"SHORT","")))))))</f>
        <v/>
      </c>
      <c r="AG329" s="35"/>
    </row>
    <row r="330" customFormat="false" ht="15" hidden="false" customHeight="false" outlineLevel="0" collapsed="false">
      <c r="A330" s="34" t="str">
        <f aca="false">IF(B330="","",LEFT(B330,3)&amp;"-"&amp;TEXT(COUNTIF(B$11:B330,B330),"00"))</f>
        <v/>
      </c>
      <c r="B330" s="35"/>
      <c r="C330" s="35"/>
      <c r="D330" s="35"/>
      <c r="E330" s="35"/>
      <c r="F330" s="35"/>
      <c r="G330" s="35"/>
      <c r="H330" s="35"/>
      <c r="I330" s="35"/>
      <c r="J330" s="34" t="str">
        <f aca="false">IF(H330="","",H330*IF(I330="",1,I330))</f>
        <v/>
      </c>
      <c r="K330" s="35"/>
      <c r="L330" s="35"/>
      <c r="M330" s="35"/>
      <c r="N330" s="35"/>
      <c r="O330" s="35"/>
      <c r="P330" s="36"/>
      <c r="Q330" s="36"/>
      <c r="R330" s="35"/>
      <c r="S330" s="35"/>
      <c r="T330" s="35"/>
      <c r="U330" s="35"/>
      <c r="V330" s="36"/>
      <c r="W330" s="36"/>
      <c r="X330" s="35"/>
      <c r="Y330" s="35"/>
      <c r="Z330" s="36"/>
      <c r="AA330" s="37"/>
      <c r="AB330" s="38" t="str">
        <f aca="false">IF(OR(AA330="",J330=""),"",AA330*J330)</f>
        <v/>
      </c>
      <c r="AC330" s="35"/>
      <c r="AD330" s="35"/>
      <c r="AE330" s="36"/>
      <c r="AF330" s="34" t="str">
        <f aca="true">IF(OR(D330="",R330="Cancelled"),"",IF(H330="","NO QTY",IF(AND(L330="Buy",E330=""),"NO PART NO",IF(AND(W330&lt;&gt;"",NOT(OR(R330="Received",R330="NSW Purchased")),W330&lt;TODAY()),"OVERDUE",IF(AND(W330&lt;&gt;"",Q330&lt;&gt;"",W330&gt;Q330),"LATE vs REQ",IF(AND(R330="Finalized – Not Purchased",T330=""),"NEED PR",IF(AND(Y330&lt;&gt;"",Y330&lt;J330),"SHORT","")))))))</f>
        <v/>
      </c>
      <c r="AG330" s="35"/>
    </row>
    <row r="331" customFormat="false" ht="15" hidden="false" customHeight="false" outlineLevel="0" collapsed="false">
      <c r="A331" s="34" t="str">
        <f aca="false">IF(B331="","",LEFT(B331,3)&amp;"-"&amp;TEXT(COUNTIF(B$11:B331,B331),"00"))</f>
        <v/>
      </c>
      <c r="B331" s="35"/>
      <c r="C331" s="35"/>
      <c r="D331" s="35"/>
      <c r="E331" s="35"/>
      <c r="F331" s="35"/>
      <c r="G331" s="35"/>
      <c r="H331" s="35"/>
      <c r="I331" s="35"/>
      <c r="J331" s="34" t="str">
        <f aca="false">IF(H331="","",H331*IF(I331="",1,I331))</f>
        <v/>
      </c>
      <c r="K331" s="35"/>
      <c r="L331" s="35"/>
      <c r="M331" s="35"/>
      <c r="N331" s="35"/>
      <c r="O331" s="35"/>
      <c r="P331" s="36"/>
      <c r="Q331" s="36"/>
      <c r="R331" s="35"/>
      <c r="S331" s="35"/>
      <c r="T331" s="35"/>
      <c r="U331" s="35"/>
      <c r="V331" s="36"/>
      <c r="W331" s="36"/>
      <c r="X331" s="35"/>
      <c r="Y331" s="35"/>
      <c r="Z331" s="36"/>
      <c r="AA331" s="37"/>
      <c r="AB331" s="38" t="str">
        <f aca="false">IF(OR(AA331="",J331=""),"",AA331*J331)</f>
        <v/>
      </c>
      <c r="AC331" s="35"/>
      <c r="AD331" s="35"/>
      <c r="AE331" s="36"/>
      <c r="AF331" s="34" t="str">
        <f aca="true">IF(OR(D331="",R331="Cancelled"),"",IF(H331="","NO QTY",IF(AND(L331="Buy",E331=""),"NO PART NO",IF(AND(W331&lt;&gt;"",NOT(OR(R331="Received",R331="NSW Purchased")),W331&lt;TODAY()),"OVERDUE",IF(AND(W331&lt;&gt;"",Q331&lt;&gt;"",W331&gt;Q331),"LATE vs REQ",IF(AND(R331="Finalized – Not Purchased",T331=""),"NEED PR",IF(AND(Y331&lt;&gt;"",Y331&lt;J331),"SHORT","")))))))</f>
        <v/>
      </c>
      <c r="AG331" s="35"/>
    </row>
    <row r="332" customFormat="false" ht="15" hidden="false" customHeight="false" outlineLevel="0" collapsed="false">
      <c r="A332" s="34" t="str">
        <f aca="false">IF(B332="","",LEFT(B332,3)&amp;"-"&amp;TEXT(COUNTIF(B$11:B332,B332),"00"))</f>
        <v/>
      </c>
      <c r="B332" s="35"/>
      <c r="C332" s="35"/>
      <c r="D332" s="35"/>
      <c r="E332" s="35"/>
      <c r="F332" s="35"/>
      <c r="G332" s="35"/>
      <c r="H332" s="35"/>
      <c r="I332" s="35"/>
      <c r="J332" s="34" t="str">
        <f aca="false">IF(H332="","",H332*IF(I332="",1,I332))</f>
        <v/>
      </c>
      <c r="K332" s="35"/>
      <c r="L332" s="35"/>
      <c r="M332" s="35"/>
      <c r="N332" s="35"/>
      <c r="O332" s="35"/>
      <c r="P332" s="36"/>
      <c r="Q332" s="36"/>
      <c r="R332" s="35"/>
      <c r="S332" s="35"/>
      <c r="T332" s="35"/>
      <c r="U332" s="35"/>
      <c r="V332" s="36"/>
      <c r="W332" s="36"/>
      <c r="X332" s="35"/>
      <c r="Y332" s="35"/>
      <c r="Z332" s="36"/>
      <c r="AA332" s="37"/>
      <c r="AB332" s="38" t="str">
        <f aca="false">IF(OR(AA332="",J332=""),"",AA332*J332)</f>
        <v/>
      </c>
      <c r="AC332" s="35"/>
      <c r="AD332" s="35"/>
      <c r="AE332" s="36"/>
      <c r="AF332" s="34" t="str">
        <f aca="true">IF(OR(D332="",R332="Cancelled"),"",IF(H332="","NO QTY",IF(AND(L332="Buy",E332=""),"NO PART NO",IF(AND(W332&lt;&gt;"",NOT(OR(R332="Received",R332="NSW Purchased")),W332&lt;TODAY()),"OVERDUE",IF(AND(W332&lt;&gt;"",Q332&lt;&gt;"",W332&gt;Q332),"LATE vs REQ",IF(AND(R332="Finalized – Not Purchased",T332=""),"NEED PR",IF(AND(Y332&lt;&gt;"",Y332&lt;J332),"SHORT","")))))))</f>
        <v/>
      </c>
      <c r="AG332" s="35"/>
    </row>
    <row r="333" customFormat="false" ht="15" hidden="false" customHeight="false" outlineLevel="0" collapsed="false">
      <c r="A333" s="34" t="str">
        <f aca="false">IF(B333="","",LEFT(B333,3)&amp;"-"&amp;TEXT(COUNTIF(B$11:B333,B333),"00"))</f>
        <v/>
      </c>
      <c r="B333" s="35"/>
      <c r="C333" s="35"/>
      <c r="D333" s="35"/>
      <c r="E333" s="35"/>
      <c r="F333" s="35"/>
      <c r="G333" s="35"/>
      <c r="H333" s="35"/>
      <c r="I333" s="35"/>
      <c r="J333" s="34" t="str">
        <f aca="false">IF(H333="","",H333*IF(I333="",1,I333))</f>
        <v/>
      </c>
      <c r="K333" s="35"/>
      <c r="L333" s="35"/>
      <c r="M333" s="35"/>
      <c r="N333" s="35"/>
      <c r="O333" s="35"/>
      <c r="P333" s="36"/>
      <c r="Q333" s="36"/>
      <c r="R333" s="35"/>
      <c r="S333" s="35"/>
      <c r="T333" s="35"/>
      <c r="U333" s="35"/>
      <c r="V333" s="36"/>
      <c r="W333" s="36"/>
      <c r="X333" s="35"/>
      <c r="Y333" s="35"/>
      <c r="Z333" s="36"/>
      <c r="AA333" s="37"/>
      <c r="AB333" s="38" t="str">
        <f aca="false">IF(OR(AA333="",J333=""),"",AA333*J333)</f>
        <v/>
      </c>
      <c r="AC333" s="35"/>
      <c r="AD333" s="35"/>
      <c r="AE333" s="36"/>
      <c r="AF333" s="34" t="str">
        <f aca="true">IF(OR(D333="",R333="Cancelled"),"",IF(H333="","NO QTY",IF(AND(L333="Buy",E333=""),"NO PART NO",IF(AND(W333&lt;&gt;"",NOT(OR(R333="Received",R333="NSW Purchased")),W333&lt;TODAY()),"OVERDUE",IF(AND(W333&lt;&gt;"",Q333&lt;&gt;"",W333&gt;Q333),"LATE vs REQ",IF(AND(R333="Finalized – Not Purchased",T333=""),"NEED PR",IF(AND(Y333&lt;&gt;"",Y333&lt;J333),"SHORT","")))))))</f>
        <v/>
      </c>
      <c r="AG333" s="35"/>
    </row>
    <row r="334" customFormat="false" ht="15" hidden="false" customHeight="false" outlineLevel="0" collapsed="false">
      <c r="A334" s="34" t="str">
        <f aca="false">IF(B334="","",LEFT(B334,3)&amp;"-"&amp;TEXT(COUNTIF(B$11:B334,B334),"00"))</f>
        <v/>
      </c>
      <c r="B334" s="35"/>
      <c r="C334" s="35"/>
      <c r="D334" s="35"/>
      <c r="E334" s="35"/>
      <c r="F334" s="35"/>
      <c r="G334" s="35"/>
      <c r="H334" s="35"/>
      <c r="I334" s="35"/>
      <c r="J334" s="34" t="str">
        <f aca="false">IF(H334="","",H334*IF(I334="",1,I334))</f>
        <v/>
      </c>
      <c r="K334" s="35"/>
      <c r="L334" s="35"/>
      <c r="M334" s="35"/>
      <c r="N334" s="35"/>
      <c r="O334" s="35"/>
      <c r="P334" s="36"/>
      <c r="Q334" s="36"/>
      <c r="R334" s="35"/>
      <c r="S334" s="35"/>
      <c r="T334" s="35"/>
      <c r="U334" s="35"/>
      <c r="V334" s="36"/>
      <c r="W334" s="36"/>
      <c r="X334" s="35"/>
      <c r="Y334" s="35"/>
      <c r="Z334" s="36"/>
      <c r="AA334" s="37"/>
      <c r="AB334" s="38" t="str">
        <f aca="false">IF(OR(AA334="",J334=""),"",AA334*J334)</f>
        <v/>
      </c>
      <c r="AC334" s="35"/>
      <c r="AD334" s="35"/>
      <c r="AE334" s="36"/>
      <c r="AF334" s="34" t="str">
        <f aca="true">IF(OR(D334="",R334="Cancelled"),"",IF(H334="","NO QTY",IF(AND(L334="Buy",E334=""),"NO PART NO",IF(AND(W334&lt;&gt;"",NOT(OR(R334="Received",R334="NSW Purchased")),W334&lt;TODAY()),"OVERDUE",IF(AND(W334&lt;&gt;"",Q334&lt;&gt;"",W334&gt;Q334),"LATE vs REQ",IF(AND(R334="Finalized – Not Purchased",T334=""),"NEED PR",IF(AND(Y334&lt;&gt;"",Y334&lt;J334),"SHORT","")))))))</f>
        <v/>
      </c>
      <c r="AG334" s="35"/>
    </row>
    <row r="335" customFormat="false" ht="15" hidden="false" customHeight="false" outlineLevel="0" collapsed="false">
      <c r="A335" s="34" t="str">
        <f aca="false">IF(B335="","",LEFT(B335,3)&amp;"-"&amp;TEXT(COUNTIF(B$11:B335,B335),"00"))</f>
        <v/>
      </c>
      <c r="B335" s="35"/>
      <c r="C335" s="35"/>
      <c r="D335" s="35"/>
      <c r="E335" s="35"/>
      <c r="F335" s="35"/>
      <c r="G335" s="35"/>
      <c r="H335" s="35"/>
      <c r="I335" s="35"/>
      <c r="J335" s="34" t="str">
        <f aca="false">IF(H335="","",H335*IF(I335="",1,I335))</f>
        <v/>
      </c>
      <c r="K335" s="35"/>
      <c r="L335" s="35"/>
      <c r="M335" s="35"/>
      <c r="N335" s="35"/>
      <c r="O335" s="35"/>
      <c r="P335" s="36"/>
      <c r="Q335" s="36"/>
      <c r="R335" s="35"/>
      <c r="S335" s="35"/>
      <c r="T335" s="35"/>
      <c r="U335" s="35"/>
      <c r="V335" s="36"/>
      <c r="W335" s="36"/>
      <c r="X335" s="35"/>
      <c r="Y335" s="35"/>
      <c r="Z335" s="36"/>
      <c r="AA335" s="37"/>
      <c r="AB335" s="38" t="str">
        <f aca="false">IF(OR(AA335="",J335=""),"",AA335*J335)</f>
        <v/>
      </c>
      <c r="AC335" s="35"/>
      <c r="AD335" s="35"/>
      <c r="AE335" s="36"/>
      <c r="AF335" s="34" t="str">
        <f aca="true">IF(OR(D335="",R335="Cancelled"),"",IF(H335="","NO QTY",IF(AND(L335="Buy",E335=""),"NO PART NO",IF(AND(W335&lt;&gt;"",NOT(OR(R335="Received",R335="NSW Purchased")),W335&lt;TODAY()),"OVERDUE",IF(AND(W335&lt;&gt;"",Q335&lt;&gt;"",W335&gt;Q335),"LATE vs REQ",IF(AND(R335="Finalized – Not Purchased",T335=""),"NEED PR",IF(AND(Y335&lt;&gt;"",Y335&lt;J335),"SHORT","")))))))</f>
        <v/>
      </c>
      <c r="AG335" s="35"/>
    </row>
    <row r="336" customFormat="false" ht="15" hidden="false" customHeight="false" outlineLevel="0" collapsed="false">
      <c r="A336" s="34" t="str">
        <f aca="false">IF(B336="","",LEFT(B336,3)&amp;"-"&amp;TEXT(COUNTIF(B$11:B336,B336),"00"))</f>
        <v/>
      </c>
      <c r="B336" s="35"/>
      <c r="C336" s="35"/>
      <c r="D336" s="35"/>
      <c r="E336" s="35"/>
      <c r="F336" s="35"/>
      <c r="G336" s="35"/>
      <c r="H336" s="35"/>
      <c r="I336" s="35"/>
      <c r="J336" s="34" t="str">
        <f aca="false">IF(H336="","",H336*IF(I336="",1,I336))</f>
        <v/>
      </c>
      <c r="K336" s="35"/>
      <c r="L336" s="35"/>
      <c r="M336" s="35"/>
      <c r="N336" s="35"/>
      <c r="O336" s="35"/>
      <c r="P336" s="36"/>
      <c r="Q336" s="36"/>
      <c r="R336" s="35"/>
      <c r="S336" s="35"/>
      <c r="T336" s="35"/>
      <c r="U336" s="35"/>
      <c r="V336" s="36"/>
      <c r="W336" s="36"/>
      <c r="X336" s="35"/>
      <c r="Y336" s="35"/>
      <c r="Z336" s="36"/>
      <c r="AA336" s="37"/>
      <c r="AB336" s="38" t="str">
        <f aca="false">IF(OR(AA336="",J336=""),"",AA336*J336)</f>
        <v/>
      </c>
      <c r="AC336" s="35"/>
      <c r="AD336" s="35"/>
      <c r="AE336" s="36"/>
      <c r="AF336" s="34" t="str">
        <f aca="true">IF(OR(D336="",R336="Cancelled"),"",IF(H336="","NO QTY",IF(AND(L336="Buy",E336=""),"NO PART NO",IF(AND(W336&lt;&gt;"",NOT(OR(R336="Received",R336="NSW Purchased")),W336&lt;TODAY()),"OVERDUE",IF(AND(W336&lt;&gt;"",Q336&lt;&gt;"",W336&gt;Q336),"LATE vs REQ",IF(AND(R336="Finalized – Not Purchased",T336=""),"NEED PR",IF(AND(Y336&lt;&gt;"",Y336&lt;J336),"SHORT","")))))))</f>
        <v/>
      </c>
      <c r="AG336" s="35"/>
    </row>
    <row r="337" customFormat="false" ht="15" hidden="false" customHeight="false" outlineLevel="0" collapsed="false">
      <c r="A337" s="34" t="str">
        <f aca="false">IF(B337="","",LEFT(B337,3)&amp;"-"&amp;TEXT(COUNTIF(B$11:B337,B337),"00"))</f>
        <v/>
      </c>
      <c r="B337" s="35"/>
      <c r="C337" s="35"/>
      <c r="D337" s="35"/>
      <c r="E337" s="35"/>
      <c r="F337" s="35"/>
      <c r="G337" s="35"/>
      <c r="H337" s="35"/>
      <c r="I337" s="35"/>
      <c r="J337" s="34" t="str">
        <f aca="false">IF(H337="","",H337*IF(I337="",1,I337))</f>
        <v/>
      </c>
      <c r="K337" s="35"/>
      <c r="L337" s="35"/>
      <c r="M337" s="35"/>
      <c r="N337" s="35"/>
      <c r="O337" s="35"/>
      <c r="P337" s="36"/>
      <c r="Q337" s="36"/>
      <c r="R337" s="35"/>
      <c r="S337" s="35"/>
      <c r="T337" s="35"/>
      <c r="U337" s="35"/>
      <c r="V337" s="36"/>
      <c r="W337" s="36"/>
      <c r="X337" s="35"/>
      <c r="Y337" s="35"/>
      <c r="Z337" s="36"/>
      <c r="AA337" s="37"/>
      <c r="AB337" s="38" t="str">
        <f aca="false">IF(OR(AA337="",J337=""),"",AA337*J337)</f>
        <v/>
      </c>
      <c r="AC337" s="35"/>
      <c r="AD337" s="35"/>
      <c r="AE337" s="36"/>
      <c r="AF337" s="34" t="str">
        <f aca="true">IF(OR(D337="",R337="Cancelled"),"",IF(H337="","NO QTY",IF(AND(L337="Buy",E337=""),"NO PART NO",IF(AND(W337&lt;&gt;"",NOT(OR(R337="Received",R337="NSW Purchased")),W337&lt;TODAY()),"OVERDUE",IF(AND(W337&lt;&gt;"",Q337&lt;&gt;"",W337&gt;Q337),"LATE vs REQ",IF(AND(R337="Finalized – Not Purchased",T337=""),"NEED PR",IF(AND(Y337&lt;&gt;"",Y337&lt;J337),"SHORT","")))))))</f>
        <v/>
      </c>
      <c r="AG337" s="35"/>
    </row>
    <row r="338" customFormat="false" ht="15" hidden="false" customHeight="false" outlineLevel="0" collapsed="false">
      <c r="A338" s="34" t="str">
        <f aca="false">IF(B338="","",LEFT(B338,3)&amp;"-"&amp;TEXT(COUNTIF(B$11:B338,B338),"00"))</f>
        <v/>
      </c>
      <c r="B338" s="35"/>
      <c r="C338" s="35"/>
      <c r="D338" s="35"/>
      <c r="E338" s="35"/>
      <c r="F338" s="35"/>
      <c r="G338" s="35"/>
      <c r="H338" s="35"/>
      <c r="I338" s="35"/>
      <c r="J338" s="34" t="str">
        <f aca="false">IF(H338="","",H338*IF(I338="",1,I338))</f>
        <v/>
      </c>
      <c r="K338" s="35"/>
      <c r="L338" s="35"/>
      <c r="M338" s="35"/>
      <c r="N338" s="35"/>
      <c r="O338" s="35"/>
      <c r="P338" s="36"/>
      <c r="Q338" s="36"/>
      <c r="R338" s="35"/>
      <c r="S338" s="35"/>
      <c r="T338" s="35"/>
      <c r="U338" s="35"/>
      <c r="V338" s="36"/>
      <c r="W338" s="36"/>
      <c r="X338" s="35"/>
      <c r="Y338" s="35"/>
      <c r="Z338" s="36"/>
      <c r="AA338" s="37"/>
      <c r="AB338" s="38" t="str">
        <f aca="false">IF(OR(AA338="",J338=""),"",AA338*J338)</f>
        <v/>
      </c>
      <c r="AC338" s="35"/>
      <c r="AD338" s="35"/>
      <c r="AE338" s="36"/>
      <c r="AF338" s="34" t="str">
        <f aca="true">IF(OR(D338="",R338="Cancelled"),"",IF(H338="","NO QTY",IF(AND(L338="Buy",E338=""),"NO PART NO",IF(AND(W338&lt;&gt;"",NOT(OR(R338="Received",R338="NSW Purchased")),W338&lt;TODAY()),"OVERDUE",IF(AND(W338&lt;&gt;"",Q338&lt;&gt;"",W338&gt;Q338),"LATE vs REQ",IF(AND(R338="Finalized – Not Purchased",T338=""),"NEED PR",IF(AND(Y338&lt;&gt;"",Y338&lt;J338),"SHORT","")))))))</f>
        <v/>
      </c>
      <c r="AG338" s="35"/>
    </row>
    <row r="339" customFormat="false" ht="15" hidden="false" customHeight="false" outlineLevel="0" collapsed="false">
      <c r="A339" s="34" t="str">
        <f aca="false">IF(B339="","",LEFT(B339,3)&amp;"-"&amp;TEXT(COUNTIF(B$11:B339,B339),"00"))</f>
        <v/>
      </c>
      <c r="B339" s="35"/>
      <c r="C339" s="35"/>
      <c r="D339" s="35"/>
      <c r="E339" s="35"/>
      <c r="F339" s="35"/>
      <c r="G339" s="35"/>
      <c r="H339" s="35"/>
      <c r="I339" s="35"/>
      <c r="J339" s="34" t="str">
        <f aca="false">IF(H339="","",H339*IF(I339="",1,I339))</f>
        <v/>
      </c>
      <c r="K339" s="35"/>
      <c r="L339" s="35"/>
      <c r="M339" s="35"/>
      <c r="N339" s="35"/>
      <c r="O339" s="35"/>
      <c r="P339" s="36"/>
      <c r="Q339" s="36"/>
      <c r="R339" s="35"/>
      <c r="S339" s="35"/>
      <c r="T339" s="35"/>
      <c r="U339" s="35"/>
      <c r="V339" s="36"/>
      <c r="W339" s="36"/>
      <c r="X339" s="35"/>
      <c r="Y339" s="35"/>
      <c r="Z339" s="36"/>
      <c r="AA339" s="37"/>
      <c r="AB339" s="38" t="str">
        <f aca="false">IF(OR(AA339="",J339=""),"",AA339*J339)</f>
        <v/>
      </c>
      <c r="AC339" s="35"/>
      <c r="AD339" s="35"/>
      <c r="AE339" s="36"/>
      <c r="AF339" s="34" t="str">
        <f aca="true">IF(OR(D339="",R339="Cancelled"),"",IF(H339="","NO QTY",IF(AND(L339="Buy",E339=""),"NO PART NO",IF(AND(W339&lt;&gt;"",NOT(OR(R339="Received",R339="NSW Purchased")),W339&lt;TODAY()),"OVERDUE",IF(AND(W339&lt;&gt;"",Q339&lt;&gt;"",W339&gt;Q339),"LATE vs REQ",IF(AND(R339="Finalized – Not Purchased",T339=""),"NEED PR",IF(AND(Y339&lt;&gt;"",Y339&lt;J339),"SHORT","")))))))</f>
        <v/>
      </c>
      <c r="AG339" s="35"/>
    </row>
    <row r="340" customFormat="false" ht="15" hidden="false" customHeight="false" outlineLevel="0" collapsed="false">
      <c r="A340" s="34" t="str">
        <f aca="false">IF(B340="","",LEFT(B340,3)&amp;"-"&amp;TEXT(COUNTIF(B$11:B340,B340),"00"))</f>
        <v/>
      </c>
      <c r="B340" s="35"/>
      <c r="C340" s="35"/>
      <c r="D340" s="35"/>
      <c r="E340" s="35"/>
      <c r="F340" s="35"/>
      <c r="G340" s="35"/>
      <c r="H340" s="35"/>
      <c r="I340" s="35"/>
      <c r="J340" s="34" t="str">
        <f aca="false">IF(H340="","",H340*IF(I340="",1,I340))</f>
        <v/>
      </c>
      <c r="K340" s="35"/>
      <c r="L340" s="35"/>
      <c r="M340" s="35"/>
      <c r="N340" s="35"/>
      <c r="O340" s="35"/>
      <c r="P340" s="36"/>
      <c r="Q340" s="36"/>
      <c r="R340" s="35"/>
      <c r="S340" s="35"/>
      <c r="T340" s="35"/>
      <c r="U340" s="35"/>
      <c r="V340" s="36"/>
      <c r="W340" s="36"/>
      <c r="X340" s="35"/>
      <c r="Y340" s="35"/>
      <c r="Z340" s="36"/>
      <c r="AA340" s="37"/>
      <c r="AB340" s="38" t="str">
        <f aca="false">IF(OR(AA340="",J340=""),"",AA340*J340)</f>
        <v/>
      </c>
      <c r="AC340" s="35"/>
      <c r="AD340" s="35"/>
      <c r="AE340" s="36"/>
      <c r="AF340" s="34" t="str">
        <f aca="true">IF(OR(D340="",R340="Cancelled"),"",IF(H340="","NO QTY",IF(AND(L340="Buy",E340=""),"NO PART NO",IF(AND(W340&lt;&gt;"",NOT(OR(R340="Received",R340="NSW Purchased")),W340&lt;TODAY()),"OVERDUE",IF(AND(W340&lt;&gt;"",Q340&lt;&gt;"",W340&gt;Q340),"LATE vs REQ",IF(AND(R340="Finalized – Not Purchased",T340=""),"NEED PR",IF(AND(Y340&lt;&gt;"",Y340&lt;J340),"SHORT","")))))))</f>
        <v/>
      </c>
      <c r="AG340" s="35"/>
    </row>
    <row r="341" customFormat="false" ht="15" hidden="false" customHeight="false" outlineLevel="0" collapsed="false">
      <c r="A341" s="34" t="str">
        <f aca="false">IF(B341="","",LEFT(B341,3)&amp;"-"&amp;TEXT(COUNTIF(B$11:B341,B341),"00"))</f>
        <v/>
      </c>
      <c r="B341" s="35"/>
      <c r="C341" s="35"/>
      <c r="D341" s="35"/>
      <c r="E341" s="35"/>
      <c r="F341" s="35"/>
      <c r="G341" s="35"/>
      <c r="H341" s="35"/>
      <c r="I341" s="35"/>
      <c r="J341" s="34" t="str">
        <f aca="false">IF(H341="","",H341*IF(I341="",1,I341))</f>
        <v/>
      </c>
      <c r="K341" s="35"/>
      <c r="L341" s="35"/>
      <c r="M341" s="35"/>
      <c r="N341" s="35"/>
      <c r="O341" s="35"/>
      <c r="P341" s="36"/>
      <c r="Q341" s="36"/>
      <c r="R341" s="35"/>
      <c r="S341" s="35"/>
      <c r="T341" s="35"/>
      <c r="U341" s="35"/>
      <c r="V341" s="36"/>
      <c r="W341" s="36"/>
      <c r="X341" s="35"/>
      <c r="Y341" s="35"/>
      <c r="Z341" s="36"/>
      <c r="AA341" s="37"/>
      <c r="AB341" s="38" t="str">
        <f aca="false">IF(OR(AA341="",J341=""),"",AA341*J341)</f>
        <v/>
      </c>
      <c r="AC341" s="35"/>
      <c r="AD341" s="35"/>
      <c r="AE341" s="36"/>
      <c r="AF341" s="34" t="str">
        <f aca="true">IF(OR(D341="",R341="Cancelled"),"",IF(H341="","NO QTY",IF(AND(L341="Buy",E341=""),"NO PART NO",IF(AND(W341&lt;&gt;"",NOT(OR(R341="Received",R341="NSW Purchased")),W341&lt;TODAY()),"OVERDUE",IF(AND(W341&lt;&gt;"",Q341&lt;&gt;"",W341&gt;Q341),"LATE vs REQ",IF(AND(R341="Finalized – Not Purchased",T341=""),"NEED PR",IF(AND(Y341&lt;&gt;"",Y341&lt;J341),"SHORT","")))))))</f>
        <v/>
      </c>
      <c r="AG341" s="35"/>
    </row>
    <row r="342" customFormat="false" ht="15" hidden="false" customHeight="false" outlineLevel="0" collapsed="false">
      <c r="A342" s="34" t="str">
        <f aca="false">IF(B342="","",LEFT(B342,3)&amp;"-"&amp;TEXT(COUNTIF(B$11:B342,B342),"00"))</f>
        <v/>
      </c>
      <c r="B342" s="35"/>
      <c r="C342" s="35"/>
      <c r="D342" s="35"/>
      <c r="E342" s="35"/>
      <c r="F342" s="35"/>
      <c r="G342" s="35"/>
      <c r="H342" s="35"/>
      <c r="I342" s="35"/>
      <c r="J342" s="34" t="str">
        <f aca="false">IF(H342="","",H342*IF(I342="",1,I342))</f>
        <v/>
      </c>
      <c r="K342" s="35"/>
      <c r="L342" s="35"/>
      <c r="M342" s="35"/>
      <c r="N342" s="35"/>
      <c r="O342" s="35"/>
      <c r="P342" s="36"/>
      <c r="Q342" s="36"/>
      <c r="R342" s="35"/>
      <c r="S342" s="35"/>
      <c r="T342" s="35"/>
      <c r="U342" s="35"/>
      <c r="V342" s="36"/>
      <c r="W342" s="36"/>
      <c r="X342" s="35"/>
      <c r="Y342" s="35"/>
      <c r="Z342" s="36"/>
      <c r="AA342" s="37"/>
      <c r="AB342" s="38" t="str">
        <f aca="false">IF(OR(AA342="",J342=""),"",AA342*J342)</f>
        <v/>
      </c>
      <c r="AC342" s="35"/>
      <c r="AD342" s="35"/>
      <c r="AE342" s="36"/>
      <c r="AF342" s="34" t="str">
        <f aca="true">IF(OR(D342="",R342="Cancelled"),"",IF(H342="","NO QTY",IF(AND(L342="Buy",E342=""),"NO PART NO",IF(AND(W342&lt;&gt;"",NOT(OR(R342="Received",R342="NSW Purchased")),W342&lt;TODAY()),"OVERDUE",IF(AND(W342&lt;&gt;"",Q342&lt;&gt;"",W342&gt;Q342),"LATE vs REQ",IF(AND(R342="Finalized – Not Purchased",T342=""),"NEED PR",IF(AND(Y342&lt;&gt;"",Y342&lt;J342),"SHORT","")))))))</f>
        <v/>
      </c>
      <c r="AG342" s="35"/>
    </row>
    <row r="343" customFormat="false" ht="15" hidden="false" customHeight="false" outlineLevel="0" collapsed="false">
      <c r="A343" s="34" t="str">
        <f aca="false">IF(B343="","",LEFT(B343,3)&amp;"-"&amp;TEXT(COUNTIF(B$11:B343,B343),"00"))</f>
        <v/>
      </c>
      <c r="B343" s="35"/>
      <c r="C343" s="35"/>
      <c r="D343" s="35"/>
      <c r="E343" s="35"/>
      <c r="F343" s="35"/>
      <c r="G343" s="35"/>
      <c r="H343" s="35"/>
      <c r="I343" s="35"/>
      <c r="J343" s="34" t="str">
        <f aca="false">IF(H343="","",H343*IF(I343="",1,I343))</f>
        <v/>
      </c>
      <c r="K343" s="35"/>
      <c r="L343" s="35"/>
      <c r="M343" s="35"/>
      <c r="N343" s="35"/>
      <c r="O343" s="35"/>
      <c r="P343" s="36"/>
      <c r="Q343" s="36"/>
      <c r="R343" s="35"/>
      <c r="S343" s="35"/>
      <c r="T343" s="35"/>
      <c r="U343" s="35"/>
      <c r="V343" s="36"/>
      <c r="W343" s="36"/>
      <c r="X343" s="35"/>
      <c r="Y343" s="35"/>
      <c r="Z343" s="36"/>
      <c r="AA343" s="37"/>
      <c r="AB343" s="38" t="str">
        <f aca="false">IF(OR(AA343="",J343=""),"",AA343*J343)</f>
        <v/>
      </c>
      <c r="AC343" s="35"/>
      <c r="AD343" s="35"/>
      <c r="AE343" s="36"/>
      <c r="AF343" s="34" t="str">
        <f aca="true">IF(OR(D343="",R343="Cancelled"),"",IF(H343="","NO QTY",IF(AND(L343="Buy",E343=""),"NO PART NO",IF(AND(W343&lt;&gt;"",NOT(OR(R343="Received",R343="NSW Purchased")),W343&lt;TODAY()),"OVERDUE",IF(AND(W343&lt;&gt;"",Q343&lt;&gt;"",W343&gt;Q343),"LATE vs REQ",IF(AND(R343="Finalized – Not Purchased",T343=""),"NEED PR",IF(AND(Y343&lt;&gt;"",Y343&lt;J343),"SHORT","")))))))</f>
        <v/>
      </c>
      <c r="AG343" s="35"/>
    </row>
    <row r="344" customFormat="false" ht="15" hidden="false" customHeight="false" outlineLevel="0" collapsed="false">
      <c r="A344" s="34" t="str">
        <f aca="false">IF(B344="","",LEFT(B344,3)&amp;"-"&amp;TEXT(COUNTIF(B$11:B344,B344),"00"))</f>
        <v/>
      </c>
      <c r="B344" s="35"/>
      <c r="C344" s="35"/>
      <c r="D344" s="35"/>
      <c r="E344" s="35"/>
      <c r="F344" s="35"/>
      <c r="G344" s="35"/>
      <c r="H344" s="35"/>
      <c r="I344" s="35"/>
      <c r="J344" s="34" t="str">
        <f aca="false">IF(H344="","",H344*IF(I344="",1,I344))</f>
        <v/>
      </c>
      <c r="K344" s="35"/>
      <c r="L344" s="35"/>
      <c r="M344" s="35"/>
      <c r="N344" s="35"/>
      <c r="O344" s="35"/>
      <c r="P344" s="36"/>
      <c r="Q344" s="36"/>
      <c r="R344" s="35"/>
      <c r="S344" s="35"/>
      <c r="T344" s="35"/>
      <c r="U344" s="35"/>
      <c r="V344" s="36"/>
      <c r="W344" s="36"/>
      <c r="X344" s="35"/>
      <c r="Y344" s="35"/>
      <c r="Z344" s="36"/>
      <c r="AA344" s="37"/>
      <c r="AB344" s="38" t="str">
        <f aca="false">IF(OR(AA344="",J344=""),"",AA344*J344)</f>
        <v/>
      </c>
      <c r="AC344" s="35"/>
      <c r="AD344" s="35"/>
      <c r="AE344" s="36"/>
      <c r="AF344" s="34" t="str">
        <f aca="true">IF(OR(D344="",R344="Cancelled"),"",IF(H344="","NO QTY",IF(AND(L344="Buy",E344=""),"NO PART NO",IF(AND(W344&lt;&gt;"",NOT(OR(R344="Received",R344="NSW Purchased")),W344&lt;TODAY()),"OVERDUE",IF(AND(W344&lt;&gt;"",Q344&lt;&gt;"",W344&gt;Q344),"LATE vs REQ",IF(AND(R344="Finalized – Not Purchased",T344=""),"NEED PR",IF(AND(Y344&lt;&gt;"",Y344&lt;J344),"SHORT","")))))))</f>
        <v/>
      </c>
      <c r="AG344" s="35"/>
    </row>
    <row r="345" customFormat="false" ht="15" hidden="false" customHeight="false" outlineLevel="0" collapsed="false">
      <c r="A345" s="34" t="str">
        <f aca="false">IF(B345="","",LEFT(B345,3)&amp;"-"&amp;TEXT(COUNTIF(B$11:B345,B345),"00"))</f>
        <v/>
      </c>
      <c r="B345" s="35"/>
      <c r="C345" s="35"/>
      <c r="D345" s="35"/>
      <c r="E345" s="35"/>
      <c r="F345" s="35"/>
      <c r="G345" s="35"/>
      <c r="H345" s="35"/>
      <c r="I345" s="35"/>
      <c r="J345" s="34" t="str">
        <f aca="false">IF(H345="","",H345*IF(I345="",1,I345))</f>
        <v/>
      </c>
      <c r="K345" s="35"/>
      <c r="L345" s="35"/>
      <c r="M345" s="35"/>
      <c r="N345" s="35"/>
      <c r="O345" s="35"/>
      <c r="P345" s="36"/>
      <c r="Q345" s="36"/>
      <c r="R345" s="35"/>
      <c r="S345" s="35"/>
      <c r="T345" s="35"/>
      <c r="U345" s="35"/>
      <c r="V345" s="36"/>
      <c r="W345" s="36"/>
      <c r="X345" s="35"/>
      <c r="Y345" s="35"/>
      <c r="Z345" s="36"/>
      <c r="AA345" s="37"/>
      <c r="AB345" s="38" t="str">
        <f aca="false">IF(OR(AA345="",J345=""),"",AA345*J345)</f>
        <v/>
      </c>
      <c r="AC345" s="35"/>
      <c r="AD345" s="35"/>
      <c r="AE345" s="36"/>
      <c r="AF345" s="34" t="str">
        <f aca="true">IF(OR(D345="",R345="Cancelled"),"",IF(H345="","NO QTY",IF(AND(L345="Buy",E345=""),"NO PART NO",IF(AND(W345&lt;&gt;"",NOT(OR(R345="Received",R345="NSW Purchased")),W345&lt;TODAY()),"OVERDUE",IF(AND(W345&lt;&gt;"",Q345&lt;&gt;"",W345&gt;Q345),"LATE vs REQ",IF(AND(R345="Finalized – Not Purchased",T345=""),"NEED PR",IF(AND(Y345&lt;&gt;"",Y345&lt;J345),"SHORT","")))))))</f>
        <v/>
      </c>
      <c r="AG345" s="35"/>
    </row>
    <row r="346" customFormat="false" ht="15" hidden="false" customHeight="false" outlineLevel="0" collapsed="false">
      <c r="A346" s="34" t="str">
        <f aca="false">IF(B346="","",LEFT(B346,3)&amp;"-"&amp;TEXT(COUNTIF(B$11:B346,B346),"00"))</f>
        <v/>
      </c>
      <c r="B346" s="35"/>
      <c r="C346" s="35"/>
      <c r="D346" s="35"/>
      <c r="E346" s="35"/>
      <c r="F346" s="35"/>
      <c r="G346" s="35"/>
      <c r="H346" s="35"/>
      <c r="I346" s="35"/>
      <c r="J346" s="34" t="str">
        <f aca="false">IF(H346="","",H346*IF(I346="",1,I346))</f>
        <v/>
      </c>
      <c r="K346" s="35"/>
      <c r="L346" s="35"/>
      <c r="M346" s="35"/>
      <c r="N346" s="35"/>
      <c r="O346" s="35"/>
      <c r="P346" s="36"/>
      <c r="Q346" s="36"/>
      <c r="R346" s="35"/>
      <c r="S346" s="35"/>
      <c r="T346" s="35"/>
      <c r="U346" s="35"/>
      <c r="V346" s="36"/>
      <c r="W346" s="36"/>
      <c r="X346" s="35"/>
      <c r="Y346" s="35"/>
      <c r="Z346" s="36"/>
      <c r="AA346" s="37"/>
      <c r="AB346" s="38" t="str">
        <f aca="false">IF(OR(AA346="",J346=""),"",AA346*J346)</f>
        <v/>
      </c>
      <c r="AC346" s="35"/>
      <c r="AD346" s="35"/>
      <c r="AE346" s="36"/>
      <c r="AF346" s="34" t="str">
        <f aca="true">IF(OR(D346="",R346="Cancelled"),"",IF(H346="","NO QTY",IF(AND(L346="Buy",E346=""),"NO PART NO",IF(AND(W346&lt;&gt;"",NOT(OR(R346="Received",R346="NSW Purchased")),W346&lt;TODAY()),"OVERDUE",IF(AND(W346&lt;&gt;"",Q346&lt;&gt;"",W346&gt;Q346),"LATE vs REQ",IF(AND(R346="Finalized – Not Purchased",T346=""),"NEED PR",IF(AND(Y346&lt;&gt;"",Y346&lt;J346),"SHORT","")))))))</f>
        <v/>
      </c>
      <c r="AG346" s="35"/>
    </row>
    <row r="347" customFormat="false" ht="15" hidden="false" customHeight="false" outlineLevel="0" collapsed="false">
      <c r="A347" s="34" t="str">
        <f aca="false">IF(B347="","",LEFT(B347,3)&amp;"-"&amp;TEXT(COUNTIF(B$11:B347,B347),"00"))</f>
        <v/>
      </c>
      <c r="B347" s="35"/>
      <c r="C347" s="35"/>
      <c r="D347" s="35"/>
      <c r="E347" s="35"/>
      <c r="F347" s="35"/>
      <c r="G347" s="35"/>
      <c r="H347" s="35"/>
      <c r="I347" s="35"/>
      <c r="J347" s="34" t="str">
        <f aca="false">IF(H347="","",H347*IF(I347="",1,I347))</f>
        <v/>
      </c>
      <c r="K347" s="35"/>
      <c r="L347" s="35"/>
      <c r="M347" s="35"/>
      <c r="N347" s="35"/>
      <c r="O347" s="35"/>
      <c r="P347" s="36"/>
      <c r="Q347" s="36"/>
      <c r="R347" s="35"/>
      <c r="S347" s="35"/>
      <c r="T347" s="35"/>
      <c r="U347" s="35"/>
      <c r="V347" s="36"/>
      <c r="W347" s="36"/>
      <c r="X347" s="35"/>
      <c r="Y347" s="35"/>
      <c r="Z347" s="36"/>
      <c r="AA347" s="37"/>
      <c r="AB347" s="38" t="str">
        <f aca="false">IF(OR(AA347="",J347=""),"",AA347*J347)</f>
        <v/>
      </c>
      <c r="AC347" s="35"/>
      <c r="AD347" s="35"/>
      <c r="AE347" s="36"/>
      <c r="AF347" s="34" t="str">
        <f aca="true">IF(OR(D347="",R347="Cancelled"),"",IF(H347="","NO QTY",IF(AND(L347="Buy",E347=""),"NO PART NO",IF(AND(W347&lt;&gt;"",NOT(OR(R347="Received",R347="NSW Purchased")),W347&lt;TODAY()),"OVERDUE",IF(AND(W347&lt;&gt;"",Q347&lt;&gt;"",W347&gt;Q347),"LATE vs REQ",IF(AND(R347="Finalized – Not Purchased",T347=""),"NEED PR",IF(AND(Y347&lt;&gt;"",Y347&lt;J347),"SHORT","")))))))</f>
        <v/>
      </c>
      <c r="AG347" s="35"/>
    </row>
    <row r="348" customFormat="false" ht="15" hidden="false" customHeight="false" outlineLevel="0" collapsed="false">
      <c r="A348" s="34" t="str">
        <f aca="false">IF(B348="","",LEFT(B348,3)&amp;"-"&amp;TEXT(COUNTIF(B$11:B348,B348),"00"))</f>
        <v/>
      </c>
      <c r="B348" s="35"/>
      <c r="C348" s="35"/>
      <c r="D348" s="35"/>
      <c r="E348" s="35"/>
      <c r="F348" s="35"/>
      <c r="G348" s="35"/>
      <c r="H348" s="35"/>
      <c r="I348" s="35"/>
      <c r="J348" s="34" t="str">
        <f aca="false">IF(H348="","",H348*IF(I348="",1,I348))</f>
        <v/>
      </c>
      <c r="K348" s="35"/>
      <c r="L348" s="35"/>
      <c r="M348" s="35"/>
      <c r="N348" s="35"/>
      <c r="O348" s="35"/>
      <c r="P348" s="36"/>
      <c r="Q348" s="36"/>
      <c r="R348" s="35"/>
      <c r="S348" s="35"/>
      <c r="T348" s="35"/>
      <c r="U348" s="35"/>
      <c r="V348" s="36"/>
      <c r="W348" s="36"/>
      <c r="X348" s="35"/>
      <c r="Y348" s="35"/>
      <c r="Z348" s="36"/>
      <c r="AA348" s="37"/>
      <c r="AB348" s="38" t="str">
        <f aca="false">IF(OR(AA348="",J348=""),"",AA348*J348)</f>
        <v/>
      </c>
      <c r="AC348" s="35"/>
      <c r="AD348" s="35"/>
      <c r="AE348" s="36"/>
      <c r="AF348" s="34" t="str">
        <f aca="true">IF(OR(D348="",R348="Cancelled"),"",IF(H348="","NO QTY",IF(AND(L348="Buy",E348=""),"NO PART NO",IF(AND(W348&lt;&gt;"",NOT(OR(R348="Received",R348="NSW Purchased")),W348&lt;TODAY()),"OVERDUE",IF(AND(W348&lt;&gt;"",Q348&lt;&gt;"",W348&gt;Q348),"LATE vs REQ",IF(AND(R348="Finalized – Not Purchased",T348=""),"NEED PR",IF(AND(Y348&lt;&gt;"",Y348&lt;J348),"SHORT","")))))))</f>
        <v/>
      </c>
      <c r="AG348" s="35"/>
    </row>
    <row r="349" customFormat="false" ht="15" hidden="false" customHeight="false" outlineLevel="0" collapsed="false">
      <c r="A349" s="34" t="str">
        <f aca="false">IF(B349="","",LEFT(B349,3)&amp;"-"&amp;TEXT(COUNTIF(B$11:B349,B349),"00"))</f>
        <v/>
      </c>
      <c r="B349" s="35"/>
      <c r="C349" s="35"/>
      <c r="D349" s="35"/>
      <c r="E349" s="35"/>
      <c r="F349" s="35"/>
      <c r="G349" s="35"/>
      <c r="H349" s="35"/>
      <c r="I349" s="35"/>
      <c r="J349" s="34" t="str">
        <f aca="false">IF(H349="","",H349*IF(I349="",1,I349))</f>
        <v/>
      </c>
      <c r="K349" s="35"/>
      <c r="L349" s="35"/>
      <c r="M349" s="35"/>
      <c r="N349" s="35"/>
      <c r="O349" s="35"/>
      <c r="P349" s="36"/>
      <c r="Q349" s="36"/>
      <c r="R349" s="35"/>
      <c r="S349" s="35"/>
      <c r="T349" s="35"/>
      <c r="U349" s="35"/>
      <c r="V349" s="36"/>
      <c r="W349" s="36"/>
      <c r="X349" s="35"/>
      <c r="Y349" s="35"/>
      <c r="Z349" s="36"/>
      <c r="AA349" s="37"/>
      <c r="AB349" s="38" t="str">
        <f aca="false">IF(OR(AA349="",J349=""),"",AA349*J349)</f>
        <v/>
      </c>
      <c r="AC349" s="35"/>
      <c r="AD349" s="35"/>
      <c r="AE349" s="36"/>
      <c r="AF349" s="34" t="str">
        <f aca="true">IF(OR(D349="",R349="Cancelled"),"",IF(H349="","NO QTY",IF(AND(L349="Buy",E349=""),"NO PART NO",IF(AND(W349&lt;&gt;"",NOT(OR(R349="Received",R349="NSW Purchased")),W349&lt;TODAY()),"OVERDUE",IF(AND(W349&lt;&gt;"",Q349&lt;&gt;"",W349&gt;Q349),"LATE vs REQ",IF(AND(R349="Finalized – Not Purchased",T349=""),"NEED PR",IF(AND(Y349&lt;&gt;"",Y349&lt;J349),"SHORT","")))))))</f>
        <v/>
      </c>
      <c r="AG349" s="35"/>
    </row>
    <row r="350" customFormat="false" ht="15" hidden="false" customHeight="false" outlineLevel="0" collapsed="false">
      <c r="A350" s="34" t="str">
        <f aca="false">IF(B350="","",LEFT(B350,3)&amp;"-"&amp;TEXT(COUNTIF(B$11:B350,B350),"00"))</f>
        <v/>
      </c>
      <c r="B350" s="35"/>
      <c r="C350" s="35"/>
      <c r="D350" s="35"/>
      <c r="E350" s="35"/>
      <c r="F350" s="35"/>
      <c r="G350" s="35"/>
      <c r="H350" s="35"/>
      <c r="I350" s="35"/>
      <c r="J350" s="34" t="str">
        <f aca="false">IF(H350="","",H350*IF(I350="",1,I350))</f>
        <v/>
      </c>
      <c r="K350" s="35"/>
      <c r="L350" s="35"/>
      <c r="M350" s="35"/>
      <c r="N350" s="35"/>
      <c r="O350" s="35"/>
      <c r="P350" s="36"/>
      <c r="Q350" s="36"/>
      <c r="R350" s="35"/>
      <c r="S350" s="35"/>
      <c r="T350" s="35"/>
      <c r="U350" s="35"/>
      <c r="V350" s="36"/>
      <c r="W350" s="36"/>
      <c r="X350" s="35"/>
      <c r="Y350" s="35"/>
      <c r="Z350" s="36"/>
      <c r="AA350" s="37"/>
      <c r="AB350" s="38" t="str">
        <f aca="false">IF(OR(AA350="",J350=""),"",AA350*J350)</f>
        <v/>
      </c>
      <c r="AC350" s="35"/>
      <c r="AD350" s="35"/>
      <c r="AE350" s="36"/>
      <c r="AF350" s="34" t="str">
        <f aca="true">IF(OR(D350="",R350="Cancelled"),"",IF(H350="","NO QTY",IF(AND(L350="Buy",E350=""),"NO PART NO",IF(AND(W350&lt;&gt;"",NOT(OR(R350="Received",R350="NSW Purchased")),W350&lt;TODAY()),"OVERDUE",IF(AND(W350&lt;&gt;"",Q350&lt;&gt;"",W350&gt;Q350),"LATE vs REQ",IF(AND(R350="Finalized – Not Purchased",T350=""),"NEED PR",IF(AND(Y350&lt;&gt;"",Y350&lt;J350),"SHORT","")))))))</f>
        <v/>
      </c>
      <c r="AG350" s="35"/>
    </row>
    <row r="351" customFormat="false" ht="15" hidden="false" customHeight="false" outlineLevel="0" collapsed="false">
      <c r="A351" s="34" t="str">
        <f aca="false">IF(B351="","",LEFT(B351,3)&amp;"-"&amp;TEXT(COUNTIF(B$11:B351,B351),"00"))</f>
        <v/>
      </c>
      <c r="B351" s="35"/>
      <c r="C351" s="35"/>
      <c r="D351" s="35"/>
      <c r="E351" s="35"/>
      <c r="F351" s="35"/>
      <c r="G351" s="35"/>
      <c r="H351" s="35"/>
      <c r="I351" s="35"/>
      <c r="J351" s="34" t="str">
        <f aca="false">IF(H351="","",H351*IF(I351="",1,I351))</f>
        <v/>
      </c>
      <c r="K351" s="35"/>
      <c r="L351" s="35"/>
      <c r="M351" s="35"/>
      <c r="N351" s="35"/>
      <c r="O351" s="35"/>
      <c r="P351" s="36"/>
      <c r="Q351" s="36"/>
      <c r="R351" s="35"/>
      <c r="S351" s="35"/>
      <c r="T351" s="35"/>
      <c r="U351" s="35"/>
      <c r="V351" s="36"/>
      <c r="W351" s="36"/>
      <c r="X351" s="35"/>
      <c r="Y351" s="35"/>
      <c r="Z351" s="36"/>
      <c r="AA351" s="37"/>
      <c r="AB351" s="38" t="str">
        <f aca="false">IF(OR(AA351="",J351=""),"",AA351*J351)</f>
        <v/>
      </c>
      <c r="AC351" s="35"/>
      <c r="AD351" s="35"/>
      <c r="AE351" s="36"/>
      <c r="AF351" s="34" t="str">
        <f aca="true">IF(OR(D351="",R351="Cancelled"),"",IF(H351="","NO QTY",IF(AND(L351="Buy",E351=""),"NO PART NO",IF(AND(W351&lt;&gt;"",NOT(OR(R351="Received",R351="NSW Purchased")),W351&lt;TODAY()),"OVERDUE",IF(AND(W351&lt;&gt;"",Q351&lt;&gt;"",W351&gt;Q351),"LATE vs REQ",IF(AND(R351="Finalized – Not Purchased",T351=""),"NEED PR",IF(AND(Y351&lt;&gt;"",Y351&lt;J351),"SHORT","")))))))</f>
        <v/>
      </c>
      <c r="AG351" s="35"/>
    </row>
    <row r="352" customFormat="false" ht="15" hidden="false" customHeight="false" outlineLevel="0" collapsed="false">
      <c r="A352" s="34" t="str">
        <f aca="false">IF(B352="","",LEFT(B352,3)&amp;"-"&amp;TEXT(COUNTIF(B$11:B352,B352),"00"))</f>
        <v/>
      </c>
      <c r="B352" s="35"/>
      <c r="C352" s="35"/>
      <c r="D352" s="35"/>
      <c r="E352" s="35"/>
      <c r="F352" s="35"/>
      <c r="G352" s="35"/>
      <c r="H352" s="35"/>
      <c r="I352" s="35"/>
      <c r="J352" s="34" t="str">
        <f aca="false">IF(H352="","",H352*IF(I352="",1,I352))</f>
        <v/>
      </c>
      <c r="K352" s="35"/>
      <c r="L352" s="35"/>
      <c r="M352" s="35"/>
      <c r="N352" s="35"/>
      <c r="O352" s="35"/>
      <c r="P352" s="36"/>
      <c r="Q352" s="36"/>
      <c r="R352" s="35"/>
      <c r="S352" s="35"/>
      <c r="T352" s="35"/>
      <c r="U352" s="35"/>
      <c r="V352" s="36"/>
      <c r="W352" s="36"/>
      <c r="X352" s="35"/>
      <c r="Y352" s="35"/>
      <c r="Z352" s="36"/>
      <c r="AA352" s="37"/>
      <c r="AB352" s="38" t="str">
        <f aca="false">IF(OR(AA352="",J352=""),"",AA352*J352)</f>
        <v/>
      </c>
      <c r="AC352" s="35"/>
      <c r="AD352" s="35"/>
      <c r="AE352" s="36"/>
      <c r="AF352" s="34" t="str">
        <f aca="true">IF(OR(D352="",R352="Cancelled"),"",IF(H352="","NO QTY",IF(AND(L352="Buy",E352=""),"NO PART NO",IF(AND(W352&lt;&gt;"",NOT(OR(R352="Received",R352="NSW Purchased")),W352&lt;TODAY()),"OVERDUE",IF(AND(W352&lt;&gt;"",Q352&lt;&gt;"",W352&gt;Q352),"LATE vs REQ",IF(AND(R352="Finalized – Not Purchased",T352=""),"NEED PR",IF(AND(Y352&lt;&gt;"",Y352&lt;J352),"SHORT","")))))))</f>
        <v/>
      </c>
      <c r="AG352" s="35"/>
    </row>
    <row r="353" customFormat="false" ht="15" hidden="false" customHeight="false" outlineLevel="0" collapsed="false">
      <c r="A353" s="34" t="str">
        <f aca="false">IF(B353="","",LEFT(B353,3)&amp;"-"&amp;TEXT(COUNTIF(B$11:B353,B353),"00"))</f>
        <v/>
      </c>
      <c r="B353" s="35"/>
      <c r="C353" s="35"/>
      <c r="D353" s="35"/>
      <c r="E353" s="35"/>
      <c r="F353" s="35"/>
      <c r="G353" s="35"/>
      <c r="H353" s="35"/>
      <c r="I353" s="35"/>
      <c r="J353" s="34" t="str">
        <f aca="false">IF(H353="","",H353*IF(I353="",1,I353))</f>
        <v/>
      </c>
      <c r="K353" s="35"/>
      <c r="L353" s="35"/>
      <c r="M353" s="35"/>
      <c r="N353" s="35"/>
      <c r="O353" s="35"/>
      <c r="P353" s="36"/>
      <c r="Q353" s="36"/>
      <c r="R353" s="35"/>
      <c r="S353" s="35"/>
      <c r="T353" s="35"/>
      <c r="U353" s="35"/>
      <c r="V353" s="36"/>
      <c r="W353" s="36"/>
      <c r="X353" s="35"/>
      <c r="Y353" s="35"/>
      <c r="Z353" s="36"/>
      <c r="AA353" s="37"/>
      <c r="AB353" s="38" t="str">
        <f aca="false">IF(OR(AA353="",J353=""),"",AA353*J353)</f>
        <v/>
      </c>
      <c r="AC353" s="35"/>
      <c r="AD353" s="35"/>
      <c r="AE353" s="36"/>
      <c r="AF353" s="34" t="str">
        <f aca="true">IF(OR(D353="",R353="Cancelled"),"",IF(H353="","NO QTY",IF(AND(L353="Buy",E353=""),"NO PART NO",IF(AND(W353&lt;&gt;"",NOT(OR(R353="Received",R353="NSW Purchased")),W353&lt;TODAY()),"OVERDUE",IF(AND(W353&lt;&gt;"",Q353&lt;&gt;"",W353&gt;Q353),"LATE vs REQ",IF(AND(R353="Finalized – Not Purchased",T353=""),"NEED PR",IF(AND(Y353&lt;&gt;"",Y353&lt;J353),"SHORT","")))))))</f>
        <v/>
      </c>
      <c r="AG353" s="35"/>
    </row>
    <row r="354" customFormat="false" ht="15" hidden="false" customHeight="false" outlineLevel="0" collapsed="false">
      <c r="A354" s="34" t="str">
        <f aca="false">IF(B354="","",LEFT(B354,3)&amp;"-"&amp;TEXT(COUNTIF(B$11:B354,B354),"00"))</f>
        <v/>
      </c>
      <c r="B354" s="35"/>
      <c r="C354" s="35"/>
      <c r="D354" s="35"/>
      <c r="E354" s="35"/>
      <c r="F354" s="35"/>
      <c r="G354" s="35"/>
      <c r="H354" s="35"/>
      <c r="I354" s="35"/>
      <c r="J354" s="34" t="str">
        <f aca="false">IF(H354="","",H354*IF(I354="",1,I354))</f>
        <v/>
      </c>
      <c r="K354" s="35"/>
      <c r="L354" s="35"/>
      <c r="M354" s="35"/>
      <c r="N354" s="35"/>
      <c r="O354" s="35"/>
      <c r="P354" s="36"/>
      <c r="Q354" s="36"/>
      <c r="R354" s="35"/>
      <c r="S354" s="35"/>
      <c r="T354" s="35"/>
      <c r="U354" s="35"/>
      <c r="V354" s="36"/>
      <c r="W354" s="36"/>
      <c r="X354" s="35"/>
      <c r="Y354" s="35"/>
      <c r="Z354" s="36"/>
      <c r="AA354" s="37"/>
      <c r="AB354" s="38" t="str">
        <f aca="false">IF(OR(AA354="",J354=""),"",AA354*J354)</f>
        <v/>
      </c>
      <c r="AC354" s="35"/>
      <c r="AD354" s="35"/>
      <c r="AE354" s="36"/>
      <c r="AF354" s="34" t="str">
        <f aca="true">IF(OR(D354="",R354="Cancelled"),"",IF(H354="","NO QTY",IF(AND(L354="Buy",E354=""),"NO PART NO",IF(AND(W354&lt;&gt;"",NOT(OR(R354="Received",R354="NSW Purchased")),W354&lt;TODAY()),"OVERDUE",IF(AND(W354&lt;&gt;"",Q354&lt;&gt;"",W354&gt;Q354),"LATE vs REQ",IF(AND(R354="Finalized – Not Purchased",T354=""),"NEED PR",IF(AND(Y354&lt;&gt;"",Y354&lt;J354),"SHORT","")))))))</f>
        <v/>
      </c>
      <c r="AG354" s="35"/>
    </row>
    <row r="355" customFormat="false" ht="15" hidden="false" customHeight="false" outlineLevel="0" collapsed="false">
      <c r="A355" s="34" t="str">
        <f aca="false">IF(B355="","",LEFT(B355,3)&amp;"-"&amp;TEXT(COUNTIF(B$11:B355,B355),"00"))</f>
        <v/>
      </c>
      <c r="B355" s="35"/>
      <c r="C355" s="35"/>
      <c r="D355" s="35"/>
      <c r="E355" s="35"/>
      <c r="F355" s="35"/>
      <c r="G355" s="35"/>
      <c r="H355" s="35"/>
      <c r="I355" s="35"/>
      <c r="J355" s="34" t="str">
        <f aca="false">IF(H355="","",H355*IF(I355="",1,I355))</f>
        <v/>
      </c>
      <c r="K355" s="35"/>
      <c r="L355" s="35"/>
      <c r="M355" s="35"/>
      <c r="N355" s="35"/>
      <c r="O355" s="35"/>
      <c r="P355" s="36"/>
      <c r="Q355" s="36"/>
      <c r="R355" s="35"/>
      <c r="S355" s="35"/>
      <c r="T355" s="35"/>
      <c r="U355" s="35"/>
      <c r="V355" s="36"/>
      <c r="W355" s="36"/>
      <c r="X355" s="35"/>
      <c r="Y355" s="35"/>
      <c r="Z355" s="36"/>
      <c r="AA355" s="37"/>
      <c r="AB355" s="38" t="str">
        <f aca="false">IF(OR(AA355="",J355=""),"",AA355*J355)</f>
        <v/>
      </c>
      <c r="AC355" s="35"/>
      <c r="AD355" s="35"/>
      <c r="AE355" s="36"/>
      <c r="AF355" s="34" t="str">
        <f aca="true">IF(OR(D355="",R355="Cancelled"),"",IF(H355="","NO QTY",IF(AND(L355="Buy",E355=""),"NO PART NO",IF(AND(W355&lt;&gt;"",NOT(OR(R355="Received",R355="NSW Purchased")),W355&lt;TODAY()),"OVERDUE",IF(AND(W355&lt;&gt;"",Q355&lt;&gt;"",W355&gt;Q355),"LATE vs REQ",IF(AND(R355="Finalized – Not Purchased",T355=""),"NEED PR",IF(AND(Y355&lt;&gt;"",Y355&lt;J355),"SHORT","")))))))</f>
        <v/>
      </c>
      <c r="AG355" s="35"/>
    </row>
    <row r="356" customFormat="false" ht="15" hidden="false" customHeight="false" outlineLevel="0" collapsed="false">
      <c r="A356" s="34" t="str">
        <f aca="false">IF(B356="","",LEFT(B356,3)&amp;"-"&amp;TEXT(COUNTIF(B$11:B356,B356),"00"))</f>
        <v/>
      </c>
      <c r="B356" s="35"/>
      <c r="C356" s="35"/>
      <c r="D356" s="35"/>
      <c r="E356" s="35"/>
      <c r="F356" s="35"/>
      <c r="G356" s="35"/>
      <c r="H356" s="35"/>
      <c r="I356" s="35"/>
      <c r="J356" s="34" t="str">
        <f aca="false">IF(H356="","",H356*IF(I356="",1,I356))</f>
        <v/>
      </c>
      <c r="K356" s="35"/>
      <c r="L356" s="35"/>
      <c r="M356" s="35"/>
      <c r="N356" s="35"/>
      <c r="O356" s="35"/>
      <c r="P356" s="36"/>
      <c r="Q356" s="36"/>
      <c r="R356" s="35"/>
      <c r="S356" s="35"/>
      <c r="T356" s="35"/>
      <c r="U356" s="35"/>
      <c r="V356" s="36"/>
      <c r="W356" s="36"/>
      <c r="X356" s="35"/>
      <c r="Y356" s="35"/>
      <c r="Z356" s="36"/>
      <c r="AA356" s="37"/>
      <c r="AB356" s="38" t="str">
        <f aca="false">IF(OR(AA356="",J356=""),"",AA356*J356)</f>
        <v/>
      </c>
      <c r="AC356" s="35"/>
      <c r="AD356" s="35"/>
      <c r="AE356" s="36"/>
      <c r="AF356" s="34" t="str">
        <f aca="true">IF(OR(D356="",R356="Cancelled"),"",IF(H356="","NO QTY",IF(AND(L356="Buy",E356=""),"NO PART NO",IF(AND(W356&lt;&gt;"",NOT(OR(R356="Received",R356="NSW Purchased")),W356&lt;TODAY()),"OVERDUE",IF(AND(W356&lt;&gt;"",Q356&lt;&gt;"",W356&gt;Q356),"LATE vs REQ",IF(AND(R356="Finalized – Not Purchased",T356=""),"NEED PR",IF(AND(Y356&lt;&gt;"",Y356&lt;J356),"SHORT","")))))))</f>
        <v/>
      </c>
      <c r="AG356" s="35"/>
    </row>
    <row r="357" customFormat="false" ht="15" hidden="false" customHeight="false" outlineLevel="0" collapsed="false">
      <c r="A357" s="34" t="str">
        <f aca="false">IF(B357="","",LEFT(B357,3)&amp;"-"&amp;TEXT(COUNTIF(B$11:B357,B357),"00"))</f>
        <v/>
      </c>
      <c r="B357" s="35"/>
      <c r="C357" s="35"/>
      <c r="D357" s="35"/>
      <c r="E357" s="35"/>
      <c r="F357" s="35"/>
      <c r="G357" s="35"/>
      <c r="H357" s="35"/>
      <c r="I357" s="35"/>
      <c r="J357" s="34" t="str">
        <f aca="false">IF(H357="","",H357*IF(I357="",1,I357))</f>
        <v/>
      </c>
      <c r="K357" s="35"/>
      <c r="L357" s="35"/>
      <c r="M357" s="35"/>
      <c r="N357" s="35"/>
      <c r="O357" s="35"/>
      <c r="P357" s="36"/>
      <c r="Q357" s="36"/>
      <c r="R357" s="35"/>
      <c r="S357" s="35"/>
      <c r="T357" s="35"/>
      <c r="U357" s="35"/>
      <c r="V357" s="36"/>
      <c r="W357" s="36"/>
      <c r="X357" s="35"/>
      <c r="Y357" s="35"/>
      <c r="Z357" s="36"/>
      <c r="AA357" s="37"/>
      <c r="AB357" s="38" t="str">
        <f aca="false">IF(OR(AA357="",J357=""),"",AA357*J357)</f>
        <v/>
      </c>
      <c r="AC357" s="35"/>
      <c r="AD357" s="35"/>
      <c r="AE357" s="36"/>
      <c r="AF357" s="34" t="str">
        <f aca="true">IF(OR(D357="",R357="Cancelled"),"",IF(H357="","NO QTY",IF(AND(L357="Buy",E357=""),"NO PART NO",IF(AND(W357&lt;&gt;"",NOT(OR(R357="Received",R357="NSW Purchased")),W357&lt;TODAY()),"OVERDUE",IF(AND(W357&lt;&gt;"",Q357&lt;&gt;"",W357&gt;Q357),"LATE vs REQ",IF(AND(R357="Finalized – Not Purchased",T357=""),"NEED PR",IF(AND(Y357&lt;&gt;"",Y357&lt;J357),"SHORT","")))))))</f>
        <v/>
      </c>
      <c r="AG357" s="35"/>
    </row>
    <row r="358" customFormat="false" ht="15" hidden="false" customHeight="false" outlineLevel="0" collapsed="false">
      <c r="A358" s="34" t="str">
        <f aca="false">IF(B358="","",LEFT(B358,3)&amp;"-"&amp;TEXT(COUNTIF(B$11:B358,B358),"00"))</f>
        <v/>
      </c>
      <c r="B358" s="35"/>
      <c r="C358" s="35"/>
      <c r="D358" s="35"/>
      <c r="E358" s="35"/>
      <c r="F358" s="35"/>
      <c r="G358" s="35"/>
      <c r="H358" s="35"/>
      <c r="I358" s="35"/>
      <c r="J358" s="34" t="str">
        <f aca="false">IF(H358="","",H358*IF(I358="",1,I358))</f>
        <v/>
      </c>
      <c r="K358" s="35"/>
      <c r="L358" s="35"/>
      <c r="M358" s="35"/>
      <c r="N358" s="35"/>
      <c r="O358" s="35"/>
      <c r="P358" s="36"/>
      <c r="Q358" s="36"/>
      <c r="R358" s="35"/>
      <c r="S358" s="35"/>
      <c r="T358" s="35"/>
      <c r="U358" s="35"/>
      <c r="V358" s="36"/>
      <c r="W358" s="36"/>
      <c r="X358" s="35"/>
      <c r="Y358" s="35"/>
      <c r="Z358" s="36"/>
      <c r="AA358" s="37"/>
      <c r="AB358" s="38" t="str">
        <f aca="false">IF(OR(AA358="",J358=""),"",AA358*J358)</f>
        <v/>
      </c>
      <c r="AC358" s="35"/>
      <c r="AD358" s="35"/>
      <c r="AE358" s="36"/>
      <c r="AF358" s="34" t="str">
        <f aca="true">IF(OR(D358="",R358="Cancelled"),"",IF(H358="","NO QTY",IF(AND(L358="Buy",E358=""),"NO PART NO",IF(AND(W358&lt;&gt;"",NOT(OR(R358="Received",R358="NSW Purchased")),W358&lt;TODAY()),"OVERDUE",IF(AND(W358&lt;&gt;"",Q358&lt;&gt;"",W358&gt;Q358),"LATE vs REQ",IF(AND(R358="Finalized – Not Purchased",T358=""),"NEED PR",IF(AND(Y358&lt;&gt;"",Y358&lt;J358),"SHORT","")))))))</f>
        <v/>
      </c>
      <c r="AG358" s="35"/>
    </row>
    <row r="359" customFormat="false" ht="15" hidden="false" customHeight="false" outlineLevel="0" collapsed="false">
      <c r="A359" s="34" t="str">
        <f aca="false">IF(B359="","",LEFT(B359,3)&amp;"-"&amp;TEXT(COUNTIF(B$11:B359,B359),"00"))</f>
        <v/>
      </c>
      <c r="B359" s="35"/>
      <c r="C359" s="35"/>
      <c r="D359" s="35"/>
      <c r="E359" s="35"/>
      <c r="F359" s="35"/>
      <c r="G359" s="35"/>
      <c r="H359" s="35"/>
      <c r="I359" s="35"/>
      <c r="J359" s="34" t="str">
        <f aca="false">IF(H359="","",H359*IF(I359="",1,I359))</f>
        <v/>
      </c>
      <c r="K359" s="35"/>
      <c r="L359" s="35"/>
      <c r="M359" s="35"/>
      <c r="N359" s="35"/>
      <c r="O359" s="35"/>
      <c r="P359" s="36"/>
      <c r="Q359" s="36"/>
      <c r="R359" s="35"/>
      <c r="S359" s="35"/>
      <c r="T359" s="35"/>
      <c r="U359" s="35"/>
      <c r="V359" s="36"/>
      <c r="W359" s="36"/>
      <c r="X359" s="35"/>
      <c r="Y359" s="35"/>
      <c r="Z359" s="36"/>
      <c r="AA359" s="37"/>
      <c r="AB359" s="38" t="str">
        <f aca="false">IF(OR(AA359="",J359=""),"",AA359*J359)</f>
        <v/>
      </c>
      <c r="AC359" s="35"/>
      <c r="AD359" s="35"/>
      <c r="AE359" s="36"/>
      <c r="AF359" s="34" t="str">
        <f aca="true">IF(OR(D359="",R359="Cancelled"),"",IF(H359="","NO QTY",IF(AND(L359="Buy",E359=""),"NO PART NO",IF(AND(W359&lt;&gt;"",NOT(OR(R359="Received",R359="NSW Purchased")),W359&lt;TODAY()),"OVERDUE",IF(AND(W359&lt;&gt;"",Q359&lt;&gt;"",W359&gt;Q359),"LATE vs REQ",IF(AND(R359="Finalized – Not Purchased",T359=""),"NEED PR",IF(AND(Y359&lt;&gt;"",Y359&lt;J359),"SHORT","")))))))</f>
        <v/>
      </c>
      <c r="AG359" s="35"/>
    </row>
    <row r="360" customFormat="false" ht="15" hidden="false" customHeight="false" outlineLevel="0" collapsed="false">
      <c r="A360" s="34" t="str">
        <f aca="false">IF(B360="","",LEFT(B360,3)&amp;"-"&amp;TEXT(COUNTIF(B$11:B360,B360),"00"))</f>
        <v/>
      </c>
      <c r="B360" s="35"/>
      <c r="C360" s="35"/>
      <c r="D360" s="35"/>
      <c r="E360" s="35"/>
      <c r="F360" s="35"/>
      <c r="G360" s="35"/>
      <c r="H360" s="35"/>
      <c r="I360" s="35"/>
      <c r="J360" s="34" t="str">
        <f aca="false">IF(H360="","",H360*IF(I360="",1,I360))</f>
        <v/>
      </c>
      <c r="K360" s="35"/>
      <c r="L360" s="35"/>
      <c r="M360" s="35"/>
      <c r="N360" s="35"/>
      <c r="O360" s="35"/>
      <c r="P360" s="36"/>
      <c r="Q360" s="36"/>
      <c r="R360" s="35"/>
      <c r="S360" s="35"/>
      <c r="T360" s="35"/>
      <c r="U360" s="35"/>
      <c r="V360" s="36"/>
      <c r="W360" s="36"/>
      <c r="X360" s="35"/>
      <c r="Y360" s="35"/>
      <c r="Z360" s="36"/>
      <c r="AA360" s="37"/>
      <c r="AB360" s="38" t="str">
        <f aca="false">IF(OR(AA360="",J360=""),"",AA360*J360)</f>
        <v/>
      </c>
      <c r="AC360" s="35"/>
      <c r="AD360" s="35"/>
      <c r="AE360" s="36"/>
      <c r="AF360" s="34" t="str">
        <f aca="true">IF(OR(D360="",R360="Cancelled"),"",IF(H360="","NO QTY",IF(AND(L360="Buy",E360=""),"NO PART NO",IF(AND(W360&lt;&gt;"",NOT(OR(R360="Received",R360="NSW Purchased")),W360&lt;TODAY()),"OVERDUE",IF(AND(W360&lt;&gt;"",Q360&lt;&gt;"",W360&gt;Q360),"LATE vs REQ",IF(AND(R360="Finalized – Not Purchased",T360=""),"NEED PR",IF(AND(Y360&lt;&gt;"",Y360&lt;J360),"SHORT","")))))))</f>
        <v/>
      </c>
      <c r="AG360" s="35"/>
    </row>
    <row r="361" customFormat="false" ht="15" hidden="false" customHeight="false" outlineLevel="0" collapsed="false">
      <c r="A361" s="34" t="str">
        <f aca="false">IF(B361="","",LEFT(B361,3)&amp;"-"&amp;TEXT(COUNTIF(B$11:B361,B361),"00"))</f>
        <v/>
      </c>
      <c r="B361" s="35"/>
      <c r="C361" s="35"/>
      <c r="D361" s="35"/>
      <c r="E361" s="35"/>
      <c r="F361" s="35"/>
      <c r="G361" s="35"/>
      <c r="H361" s="35"/>
      <c r="I361" s="35"/>
      <c r="J361" s="34" t="str">
        <f aca="false">IF(H361="","",H361*IF(I361="",1,I361))</f>
        <v/>
      </c>
      <c r="K361" s="35"/>
      <c r="L361" s="35"/>
      <c r="M361" s="35"/>
      <c r="N361" s="35"/>
      <c r="O361" s="35"/>
      <c r="P361" s="36"/>
      <c r="Q361" s="36"/>
      <c r="R361" s="35"/>
      <c r="S361" s="35"/>
      <c r="T361" s="35"/>
      <c r="U361" s="35"/>
      <c r="V361" s="36"/>
      <c r="W361" s="36"/>
      <c r="X361" s="35"/>
      <c r="Y361" s="35"/>
      <c r="Z361" s="36"/>
      <c r="AA361" s="37"/>
      <c r="AB361" s="38" t="str">
        <f aca="false">IF(OR(AA361="",J361=""),"",AA361*J361)</f>
        <v/>
      </c>
      <c r="AC361" s="35"/>
      <c r="AD361" s="35"/>
      <c r="AE361" s="36"/>
      <c r="AF361" s="34" t="str">
        <f aca="true">IF(OR(D361="",R361="Cancelled"),"",IF(H361="","NO QTY",IF(AND(L361="Buy",E361=""),"NO PART NO",IF(AND(W361&lt;&gt;"",NOT(OR(R361="Received",R361="NSW Purchased")),W361&lt;TODAY()),"OVERDUE",IF(AND(W361&lt;&gt;"",Q361&lt;&gt;"",W361&gt;Q361),"LATE vs REQ",IF(AND(R361="Finalized – Not Purchased",T361=""),"NEED PR",IF(AND(Y361&lt;&gt;"",Y361&lt;J361),"SHORT","")))))))</f>
        <v/>
      </c>
      <c r="AG361" s="35"/>
    </row>
    <row r="362" customFormat="false" ht="15" hidden="false" customHeight="false" outlineLevel="0" collapsed="false">
      <c r="A362" s="34" t="str">
        <f aca="false">IF(B362="","",LEFT(B362,3)&amp;"-"&amp;TEXT(COUNTIF(B$11:B362,B362),"00"))</f>
        <v/>
      </c>
      <c r="B362" s="35"/>
      <c r="C362" s="35"/>
      <c r="D362" s="35"/>
      <c r="E362" s="35"/>
      <c r="F362" s="35"/>
      <c r="G362" s="35"/>
      <c r="H362" s="35"/>
      <c r="I362" s="35"/>
      <c r="J362" s="34" t="str">
        <f aca="false">IF(H362="","",H362*IF(I362="",1,I362))</f>
        <v/>
      </c>
      <c r="K362" s="35"/>
      <c r="L362" s="35"/>
      <c r="M362" s="35"/>
      <c r="N362" s="35"/>
      <c r="O362" s="35"/>
      <c r="P362" s="36"/>
      <c r="Q362" s="36"/>
      <c r="R362" s="35"/>
      <c r="S362" s="35"/>
      <c r="T362" s="35"/>
      <c r="U362" s="35"/>
      <c r="V362" s="36"/>
      <c r="W362" s="36"/>
      <c r="X362" s="35"/>
      <c r="Y362" s="35"/>
      <c r="Z362" s="36"/>
      <c r="AA362" s="37"/>
      <c r="AB362" s="38" t="str">
        <f aca="false">IF(OR(AA362="",J362=""),"",AA362*J362)</f>
        <v/>
      </c>
      <c r="AC362" s="35"/>
      <c r="AD362" s="35"/>
      <c r="AE362" s="36"/>
      <c r="AF362" s="34" t="str">
        <f aca="true">IF(OR(D362="",R362="Cancelled"),"",IF(H362="","NO QTY",IF(AND(L362="Buy",E362=""),"NO PART NO",IF(AND(W362&lt;&gt;"",NOT(OR(R362="Received",R362="NSW Purchased")),W362&lt;TODAY()),"OVERDUE",IF(AND(W362&lt;&gt;"",Q362&lt;&gt;"",W362&gt;Q362),"LATE vs REQ",IF(AND(R362="Finalized – Not Purchased",T362=""),"NEED PR",IF(AND(Y362&lt;&gt;"",Y362&lt;J362),"SHORT","")))))))</f>
        <v/>
      </c>
      <c r="AG362" s="35"/>
    </row>
    <row r="363" customFormat="false" ht="15" hidden="false" customHeight="false" outlineLevel="0" collapsed="false">
      <c r="A363" s="34" t="str">
        <f aca="false">IF(B363="","",LEFT(B363,3)&amp;"-"&amp;TEXT(COUNTIF(B$11:B363,B363),"00"))</f>
        <v/>
      </c>
      <c r="B363" s="35"/>
      <c r="C363" s="35"/>
      <c r="D363" s="35"/>
      <c r="E363" s="35"/>
      <c r="F363" s="35"/>
      <c r="G363" s="35"/>
      <c r="H363" s="35"/>
      <c r="I363" s="35"/>
      <c r="J363" s="34" t="str">
        <f aca="false">IF(H363="","",H363*IF(I363="",1,I363))</f>
        <v/>
      </c>
      <c r="K363" s="35"/>
      <c r="L363" s="35"/>
      <c r="M363" s="35"/>
      <c r="N363" s="35"/>
      <c r="O363" s="35"/>
      <c r="P363" s="36"/>
      <c r="Q363" s="36"/>
      <c r="R363" s="35"/>
      <c r="S363" s="35"/>
      <c r="T363" s="35"/>
      <c r="U363" s="35"/>
      <c r="V363" s="36"/>
      <c r="W363" s="36"/>
      <c r="X363" s="35"/>
      <c r="Y363" s="35"/>
      <c r="Z363" s="36"/>
      <c r="AA363" s="37"/>
      <c r="AB363" s="38" t="str">
        <f aca="false">IF(OR(AA363="",J363=""),"",AA363*J363)</f>
        <v/>
      </c>
      <c r="AC363" s="35"/>
      <c r="AD363" s="35"/>
      <c r="AE363" s="36"/>
      <c r="AF363" s="34" t="str">
        <f aca="true">IF(OR(D363="",R363="Cancelled"),"",IF(H363="","NO QTY",IF(AND(L363="Buy",E363=""),"NO PART NO",IF(AND(W363&lt;&gt;"",NOT(OR(R363="Received",R363="NSW Purchased")),W363&lt;TODAY()),"OVERDUE",IF(AND(W363&lt;&gt;"",Q363&lt;&gt;"",W363&gt;Q363),"LATE vs REQ",IF(AND(R363="Finalized – Not Purchased",T363=""),"NEED PR",IF(AND(Y363&lt;&gt;"",Y363&lt;J363),"SHORT","")))))))</f>
        <v/>
      </c>
      <c r="AG363" s="35"/>
    </row>
    <row r="364" customFormat="false" ht="15" hidden="false" customHeight="false" outlineLevel="0" collapsed="false">
      <c r="A364" s="34" t="str">
        <f aca="false">IF(B364="","",LEFT(B364,3)&amp;"-"&amp;TEXT(COUNTIF(B$11:B364,B364),"00"))</f>
        <v/>
      </c>
      <c r="B364" s="35"/>
      <c r="C364" s="35"/>
      <c r="D364" s="35"/>
      <c r="E364" s="35"/>
      <c r="F364" s="35"/>
      <c r="G364" s="35"/>
      <c r="H364" s="35"/>
      <c r="I364" s="35"/>
      <c r="J364" s="34" t="str">
        <f aca="false">IF(H364="","",H364*IF(I364="",1,I364))</f>
        <v/>
      </c>
      <c r="K364" s="35"/>
      <c r="L364" s="35"/>
      <c r="M364" s="35"/>
      <c r="N364" s="35"/>
      <c r="O364" s="35"/>
      <c r="P364" s="36"/>
      <c r="Q364" s="36"/>
      <c r="R364" s="35"/>
      <c r="S364" s="35"/>
      <c r="T364" s="35"/>
      <c r="U364" s="35"/>
      <c r="V364" s="36"/>
      <c r="W364" s="36"/>
      <c r="X364" s="35"/>
      <c r="Y364" s="35"/>
      <c r="Z364" s="36"/>
      <c r="AA364" s="37"/>
      <c r="AB364" s="38" t="str">
        <f aca="false">IF(OR(AA364="",J364=""),"",AA364*J364)</f>
        <v/>
      </c>
      <c r="AC364" s="35"/>
      <c r="AD364" s="35"/>
      <c r="AE364" s="36"/>
      <c r="AF364" s="34" t="str">
        <f aca="true">IF(OR(D364="",R364="Cancelled"),"",IF(H364="","NO QTY",IF(AND(L364="Buy",E364=""),"NO PART NO",IF(AND(W364&lt;&gt;"",NOT(OR(R364="Received",R364="NSW Purchased")),W364&lt;TODAY()),"OVERDUE",IF(AND(W364&lt;&gt;"",Q364&lt;&gt;"",W364&gt;Q364),"LATE vs REQ",IF(AND(R364="Finalized – Not Purchased",T364=""),"NEED PR",IF(AND(Y364&lt;&gt;"",Y364&lt;J364),"SHORT","")))))))</f>
        <v/>
      </c>
      <c r="AG364" s="35"/>
    </row>
    <row r="365" customFormat="false" ht="15" hidden="false" customHeight="false" outlineLevel="0" collapsed="false">
      <c r="A365" s="34" t="str">
        <f aca="false">IF(B365="","",LEFT(B365,3)&amp;"-"&amp;TEXT(COUNTIF(B$11:B365,B365),"00"))</f>
        <v/>
      </c>
      <c r="B365" s="35"/>
      <c r="C365" s="35"/>
      <c r="D365" s="35"/>
      <c r="E365" s="35"/>
      <c r="F365" s="35"/>
      <c r="G365" s="35"/>
      <c r="H365" s="35"/>
      <c r="I365" s="35"/>
      <c r="J365" s="34" t="str">
        <f aca="false">IF(H365="","",H365*IF(I365="",1,I365))</f>
        <v/>
      </c>
      <c r="K365" s="35"/>
      <c r="L365" s="35"/>
      <c r="M365" s="35"/>
      <c r="N365" s="35"/>
      <c r="O365" s="35"/>
      <c r="P365" s="36"/>
      <c r="Q365" s="36"/>
      <c r="R365" s="35"/>
      <c r="S365" s="35"/>
      <c r="T365" s="35"/>
      <c r="U365" s="35"/>
      <c r="V365" s="36"/>
      <c r="W365" s="36"/>
      <c r="X365" s="35"/>
      <c r="Y365" s="35"/>
      <c r="Z365" s="36"/>
      <c r="AA365" s="37"/>
      <c r="AB365" s="38" t="str">
        <f aca="false">IF(OR(AA365="",J365=""),"",AA365*J365)</f>
        <v/>
      </c>
      <c r="AC365" s="35"/>
      <c r="AD365" s="35"/>
      <c r="AE365" s="36"/>
      <c r="AF365" s="34" t="str">
        <f aca="true">IF(OR(D365="",R365="Cancelled"),"",IF(H365="","NO QTY",IF(AND(L365="Buy",E365=""),"NO PART NO",IF(AND(W365&lt;&gt;"",NOT(OR(R365="Received",R365="NSW Purchased")),W365&lt;TODAY()),"OVERDUE",IF(AND(W365&lt;&gt;"",Q365&lt;&gt;"",W365&gt;Q365),"LATE vs REQ",IF(AND(R365="Finalized – Not Purchased",T365=""),"NEED PR",IF(AND(Y365&lt;&gt;"",Y365&lt;J365),"SHORT","")))))))</f>
        <v/>
      </c>
      <c r="AG365" s="35"/>
    </row>
    <row r="366" customFormat="false" ht="15" hidden="false" customHeight="false" outlineLevel="0" collapsed="false">
      <c r="A366" s="34" t="str">
        <f aca="false">IF(B366="","",LEFT(B366,3)&amp;"-"&amp;TEXT(COUNTIF(B$11:B366,B366),"00"))</f>
        <v/>
      </c>
      <c r="B366" s="35"/>
      <c r="C366" s="35"/>
      <c r="D366" s="35"/>
      <c r="E366" s="35"/>
      <c r="F366" s="35"/>
      <c r="G366" s="35"/>
      <c r="H366" s="35"/>
      <c r="I366" s="35"/>
      <c r="J366" s="34" t="str">
        <f aca="false">IF(H366="","",H366*IF(I366="",1,I366))</f>
        <v/>
      </c>
      <c r="K366" s="35"/>
      <c r="L366" s="35"/>
      <c r="M366" s="35"/>
      <c r="N366" s="35"/>
      <c r="O366" s="35"/>
      <c r="P366" s="36"/>
      <c r="Q366" s="36"/>
      <c r="R366" s="35"/>
      <c r="S366" s="35"/>
      <c r="T366" s="35"/>
      <c r="U366" s="35"/>
      <c r="V366" s="36"/>
      <c r="W366" s="36"/>
      <c r="X366" s="35"/>
      <c r="Y366" s="35"/>
      <c r="Z366" s="36"/>
      <c r="AA366" s="37"/>
      <c r="AB366" s="38" t="str">
        <f aca="false">IF(OR(AA366="",J366=""),"",AA366*J366)</f>
        <v/>
      </c>
      <c r="AC366" s="35"/>
      <c r="AD366" s="35"/>
      <c r="AE366" s="36"/>
      <c r="AF366" s="34" t="str">
        <f aca="true">IF(OR(D366="",R366="Cancelled"),"",IF(H366="","NO QTY",IF(AND(L366="Buy",E366=""),"NO PART NO",IF(AND(W366&lt;&gt;"",NOT(OR(R366="Received",R366="NSW Purchased")),W366&lt;TODAY()),"OVERDUE",IF(AND(W366&lt;&gt;"",Q366&lt;&gt;"",W366&gt;Q366),"LATE vs REQ",IF(AND(R366="Finalized – Not Purchased",T366=""),"NEED PR",IF(AND(Y366&lt;&gt;"",Y366&lt;J366),"SHORT","")))))))</f>
        <v/>
      </c>
      <c r="AG366" s="35"/>
    </row>
    <row r="367" customFormat="false" ht="15" hidden="false" customHeight="false" outlineLevel="0" collapsed="false">
      <c r="A367" s="34" t="str">
        <f aca="false">IF(B367="","",LEFT(B367,3)&amp;"-"&amp;TEXT(COUNTIF(B$11:B367,B367),"00"))</f>
        <v/>
      </c>
      <c r="B367" s="35"/>
      <c r="C367" s="35"/>
      <c r="D367" s="35"/>
      <c r="E367" s="35"/>
      <c r="F367" s="35"/>
      <c r="G367" s="35"/>
      <c r="H367" s="35"/>
      <c r="I367" s="35"/>
      <c r="J367" s="34" t="str">
        <f aca="false">IF(H367="","",H367*IF(I367="",1,I367))</f>
        <v/>
      </c>
      <c r="K367" s="35"/>
      <c r="L367" s="35"/>
      <c r="M367" s="35"/>
      <c r="N367" s="35"/>
      <c r="O367" s="35"/>
      <c r="P367" s="36"/>
      <c r="Q367" s="36"/>
      <c r="R367" s="35"/>
      <c r="S367" s="35"/>
      <c r="T367" s="35"/>
      <c r="U367" s="35"/>
      <c r="V367" s="36"/>
      <c r="W367" s="36"/>
      <c r="X367" s="35"/>
      <c r="Y367" s="35"/>
      <c r="Z367" s="36"/>
      <c r="AA367" s="37"/>
      <c r="AB367" s="38" t="str">
        <f aca="false">IF(OR(AA367="",J367=""),"",AA367*J367)</f>
        <v/>
      </c>
      <c r="AC367" s="35"/>
      <c r="AD367" s="35"/>
      <c r="AE367" s="36"/>
      <c r="AF367" s="34" t="str">
        <f aca="true">IF(OR(D367="",R367="Cancelled"),"",IF(H367="","NO QTY",IF(AND(L367="Buy",E367=""),"NO PART NO",IF(AND(W367&lt;&gt;"",NOT(OR(R367="Received",R367="NSW Purchased")),W367&lt;TODAY()),"OVERDUE",IF(AND(W367&lt;&gt;"",Q367&lt;&gt;"",W367&gt;Q367),"LATE vs REQ",IF(AND(R367="Finalized – Not Purchased",T367=""),"NEED PR",IF(AND(Y367&lt;&gt;"",Y367&lt;J367),"SHORT","")))))))</f>
        <v/>
      </c>
      <c r="AG367" s="35"/>
    </row>
    <row r="368" customFormat="false" ht="15" hidden="false" customHeight="false" outlineLevel="0" collapsed="false">
      <c r="A368" s="34" t="str">
        <f aca="false">IF(B368="","",LEFT(B368,3)&amp;"-"&amp;TEXT(COUNTIF(B$11:B368,B368),"00"))</f>
        <v/>
      </c>
      <c r="B368" s="35"/>
      <c r="C368" s="35"/>
      <c r="D368" s="35"/>
      <c r="E368" s="35"/>
      <c r="F368" s="35"/>
      <c r="G368" s="35"/>
      <c r="H368" s="35"/>
      <c r="I368" s="35"/>
      <c r="J368" s="34" t="str">
        <f aca="false">IF(H368="","",H368*IF(I368="",1,I368))</f>
        <v/>
      </c>
      <c r="K368" s="35"/>
      <c r="L368" s="35"/>
      <c r="M368" s="35"/>
      <c r="N368" s="35"/>
      <c r="O368" s="35"/>
      <c r="P368" s="36"/>
      <c r="Q368" s="36"/>
      <c r="R368" s="35"/>
      <c r="S368" s="35"/>
      <c r="T368" s="35"/>
      <c r="U368" s="35"/>
      <c r="V368" s="36"/>
      <c r="W368" s="36"/>
      <c r="X368" s="35"/>
      <c r="Y368" s="35"/>
      <c r="Z368" s="36"/>
      <c r="AA368" s="37"/>
      <c r="AB368" s="38" t="str">
        <f aca="false">IF(OR(AA368="",J368=""),"",AA368*J368)</f>
        <v/>
      </c>
      <c r="AC368" s="35"/>
      <c r="AD368" s="35"/>
      <c r="AE368" s="36"/>
      <c r="AF368" s="34" t="str">
        <f aca="true">IF(OR(D368="",R368="Cancelled"),"",IF(H368="","NO QTY",IF(AND(L368="Buy",E368=""),"NO PART NO",IF(AND(W368&lt;&gt;"",NOT(OR(R368="Received",R368="NSW Purchased")),W368&lt;TODAY()),"OVERDUE",IF(AND(W368&lt;&gt;"",Q368&lt;&gt;"",W368&gt;Q368),"LATE vs REQ",IF(AND(R368="Finalized – Not Purchased",T368=""),"NEED PR",IF(AND(Y368&lt;&gt;"",Y368&lt;J368),"SHORT","")))))))</f>
        <v/>
      </c>
      <c r="AG368" s="35"/>
    </row>
    <row r="369" customFormat="false" ht="15" hidden="false" customHeight="false" outlineLevel="0" collapsed="false">
      <c r="A369" s="34" t="str">
        <f aca="false">IF(B369="","",LEFT(B369,3)&amp;"-"&amp;TEXT(COUNTIF(B$11:B369,B369),"00"))</f>
        <v/>
      </c>
      <c r="B369" s="35"/>
      <c r="C369" s="35"/>
      <c r="D369" s="35"/>
      <c r="E369" s="35"/>
      <c r="F369" s="35"/>
      <c r="G369" s="35"/>
      <c r="H369" s="35"/>
      <c r="I369" s="35"/>
      <c r="J369" s="34" t="str">
        <f aca="false">IF(H369="","",H369*IF(I369="",1,I369))</f>
        <v/>
      </c>
      <c r="K369" s="35"/>
      <c r="L369" s="35"/>
      <c r="M369" s="35"/>
      <c r="N369" s="35"/>
      <c r="O369" s="35"/>
      <c r="P369" s="36"/>
      <c r="Q369" s="36"/>
      <c r="R369" s="35"/>
      <c r="S369" s="35"/>
      <c r="T369" s="35"/>
      <c r="U369" s="35"/>
      <c r="V369" s="36"/>
      <c r="W369" s="36"/>
      <c r="X369" s="35"/>
      <c r="Y369" s="35"/>
      <c r="Z369" s="36"/>
      <c r="AA369" s="37"/>
      <c r="AB369" s="38" t="str">
        <f aca="false">IF(OR(AA369="",J369=""),"",AA369*J369)</f>
        <v/>
      </c>
      <c r="AC369" s="35"/>
      <c r="AD369" s="35"/>
      <c r="AE369" s="36"/>
      <c r="AF369" s="34" t="str">
        <f aca="true">IF(OR(D369="",R369="Cancelled"),"",IF(H369="","NO QTY",IF(AND(L369="Buy",E369=""),"NO PART NO",IF(AND(W369&lt;&gt;"",NOT(OR(R369="Received",R369="NSW Purchased")),W369&lt;TODAY()),"OVERDUE",IF(AND(W369&lt;&gt;"",Q369&lt;&gt;"",W369&gt;Q369),"LATE vs REQ",IF(AND(R369="Finalized – Not Purchased",T369=""),"NEED PR",IF(AND(Y369&lt;&gt;"",Y369&lt;J369),"SHORT","")))))))</f>
        <v/>
      </c>
      <c r="AG369" s="35"/>
    </row>
    <row r="370" customFormat="false" ht="15" hidden="false" customHeight="false" outlineLevel="0" collapsed="false">
      <c r="A370" s="34" t="str">
        <f aca="false">IF(B370="","",LEFT(B370,3)&amp;"-"&amp;TEXT(COUNTIF(B$11:B370,B370),"00"))</f>
        <v/>
      </c>
      <c r="B370" s="35"/>
      <c r="C370" s="35"/>
      <c r="D370" s="35"/>
      <c r="E370" s="35"/>
      <c r="F370" s="35"/>
      <c r="G370" s="35"/>
      <c r="H370" s="35"/>
      <c r="I370" s="35"/>
      <c r="J370" s="34" t="str">
        <f aca="false">IF(H370="","",H370*IF(I370="",1,I370))</f>
        <v/>
      </c>
      <c r="K370" s="35"/>
      <c r="L370" s="35"/>
      <c r="M370" s="35"/>
      <c r="N370" s="35"/>
      <c r="O370" s="35"/>
      <c r="P370" s="36"/>
      <c r="Q370" s="36"/>
      <c r="R370" s="35"/>
      <c r="S370" s="35"/>
      <c r="T370" s="35"/>
      <c r="U370" s="35"/>
      <c r="V370" s="36"/>
      <c r="W370" s="36"/>
      <c r="X370" s="35"/>
      <c r="Y370" s="35"/>
      <c r="Z370" s="36"/>
      <c r="AA370" s="37"/>
      <c r="AB370" s="38" t="str">
        <f aca="false">IF(OR(AA370="",J370=""),"",AA370*J370)</f>
        <v/>
      </c>
      <c r="AC370" s="35"/>
      <c r="AD370" s="35"/>
      <c r="AE370" s="36"/>
      <c r="AF370" s="34" t="str">
        <f aca="true">IF(OR(D370="",R370="Cancelled"),"",IF(H370="","NO QTY",IF(AND(L370="Buy",E370=""),"NO PART NO",IF(AND(W370&lt;&gt;"",NOT(OR(R370="Received",R370="NSW Purchased")),W370&lt;TODAY()),"OVERDUE",IF(AND(W370&lt;&gt;"",Q370&lt;&gt;"",W370&gt;Q370),"LATE vs REQ",IF(AND(R370="Finalized – Not Purchased",T370=""),"NEED PR",IF(AND(Y370&lt;&gt;"",Y370&lt;J370),"SHORT","")))))))</f>
        <v/>
      </c>
      <c r="AG370" s="35"/>
    </row>
    <row r="371" customFormat="false" ht="15" hidden="false" customHeight="false" outlineLevel="0" collapsed="false">
      <c r="A371" s="34" t="str">
        <f aca="false">IF(B371="","",LEFT(B371,3)&amp;"-"&amp;TEXT(COUNTIF(B$11:B371,B371),"00"))</f>
        <v/>
      </c>
      <c r="B371" s="35"/>
      <c r="C371" s="35"/>
      <c r="D371" s="35"/>
      <c r="E371" s="35"/>
      <c r="F371" s="35"/>
      <c r="G371" s="35"/>
      <c r="H371" s="35"/>
      <c r="I371" s="35"/>
      <c r="J371" s="34" t="str">
        <f aca="false">IF(H371="","",H371*IF(I371="",1,I371))</f>
        <v/>
      </c>
      <c r="K371" s="35"/>
      <c r="L371" s="35"/>
      <c r="M371" s="35"/>
      <c r="N371" s="35"/>
      <c r="O371" s="35"/>
      <c r="P371" s="36"/>
      <c r="Q371" s="36"/>
      <c r="R371" s="35"/>
      <c r="S371" s="35"/>
      <c r="T371" s="35"/>
      <c r="U371" s="35"/>
      <c r="V371" s="36"/>
      <c r="W371" s="36"/>
      <c r="X371" s="35"/>
      <c r="Y371" s="35"/>
      <c r="Z371" s="36"/>
      <c r="AA371" s="37"/>
      <c r="AB371" s="38" t="str">
        <f aca="false">IF(OR(AA371="",J371=""),"",AA371*J371)</f>
        <v/>
      </c>
      <c r="AC371" s="35"/>
      <c r="AD371" s="35"/>
      <c r="AE371" s="36"/>
      <c r="AF371" s="34" t="str">
        <f aca="true">IF(OR(D371="",R371="Cancelled"),"",IF(H371="","NO QTY",IF(AND(L371="Buy",E371=""),"NO PART NO",IF(AND(W371&lt;&gt;"",NOT(OR(R371="Received",R371="NSW Purchased")),W371&lt;TODAY()),"OVERDUE",IF(AND(W371&lt;&gt;"",Q371&lt;&gt;"",W371&gt;Q371),"LATE vs REQ",IF(AND(R371="Finalized – Not Purchased",T371=""),"NEED PR",IF(AND(Y371&lt;&gt;"",Y371&lt;J371),"SHORT","")))))))</f>
        <v/>
      </c>
      <c r="AG371" s="35"/>
    </row>
    <row r="372" customFormat="false" ht="15" hidden="false" customHeight="false" outlineLevel="0" collapsed="false">
      <c r="A372" s="34" t="str">
        <f aca="false">IF(B372="","",LEFT(B372,3)&amp;"-"&amp;TEXT(COUNTIF(B$11:B372,B372),"00"))</f>
        <v/>
      </c>
      <c r="B372" s="35"/>
      <c r="C372" s="35"/>
      <c r="D372" s="35"/>
      <c r="E372" s="35"/>
      <c r="F372" s="35"/>
      <c r="G372" s="35"/>
      <c r="H372" s="35"/>
      <c r="I372" s="35"/>
      <c r="J372" s="34" t="str">
        <f aca="false">IF(H372="","",H372*IF(I372="",1,I372))</f>
        <v/>
      </c>
      <c r="K372" s="35"/>
      <c r="L372" s="35"/>
      <c r="M372" s="35"/>
      <c r="N372" s="35"/>
      <c r="O372" s="35"/>
      <c r="P372" s="36"/>
      <c r="Q372" s="36"/>
      <c r="R372" s="35"/>
      <c r="S372" s="35"/>
      <c r="T372" s="35"/>
      <c r="U372" s="35"/>
      <c r="V372" s="36"/>
      <c r="W372" s="36"/>
      <c r="X372" s="35"/>
      <c r="Y372" s="35"/>
      <c r="Z372" s="36"/>
      <c r="AA372" s="37"/>
      <c r="AB372" s="38" t="str">
        <f aca="false">IF(OR(AA372="",J372=""),"",AA372*J372)</f>
        <v/>
      </c>
      <c r="AC372" s="35"/>
      <c r="AD372" s="35"/>
      <c r="AE372" s="36"/>
      <c r="AF372" s="34" t="str">
        <f aca="true">IF(OR(D372="",R372="Cancelled"),"",IF(H372="","NO QTY",IF(AND(L372="Buy",E372=""),"NO PART NO",IF(AND(W372&lt;&gt;"",NOT(OR(R372="Received",R372="NSW Purchased")),W372&lt;TODAY()),"OVERDUE",IF(AND(W372&lt;&gt;"",Q372&lt;&gt;"",W372&gt;Q372),"LATE vs REQ",IF(AND(R372="Finalized – Not Purchased",T372=""),"NEED PR",IF(AND(Y372&lt;&gt;"",Y372&lt;J372),"SHORT","")))))))</f>
        <v/>
      </c>
      <c r="AG372" s="35"/>
    </row>
    <row r="373" customFormat="false" ht="15" hidden="false" customHeight="false" outlineLevel="0" collapsed="false">
      <c r="A373" s="34" t="str">
        <f aca="false">IF(B373="","",LEFT(B373,3)&amp;"-"&amp;TEXT(COUNTIF(B$11:B373,B373),"00"))</f>
        <v/>
      </c>
      <c r="B373" s="35"/>
      <c r="C373" s="35"/>
      <c r="D373" s="35"/>
      <c r="E373" s="35"/>
      <c r="F373" s="35"/>
      <c r="G373" s="35"/>
      <c r="H373" s="35"/>
      <c r="I373" s="35"/>
      <c r="J373" s="34" t="str">
        <f aca="false">IF(H373="","",H373*IF(I373="",1,I373))</f>
        <v/>
      </c>
      <c r="K373" s="35"/>
      <c r="L373" s="35"/>
      <c r="M373" s="35"/>
      <c r="N373" s="35"/>
      <c r="O373" s="35"/>
      <c r="P373" s="36"/>
      <c r="Q373" s="36"/>
      <c r="R373" s="35"/>
      <c r="S373" s="35"/>
      <c r="T373" s="35"/>
      <c r="U373" s="35"/>
      <c r="V373" s="36"/>
      <c r="W373" s="36"/>
      <c r="X373" s="35"/>
      <c r="Y373" s="35"/>
      <c r="Z373" s="36"/>
      <c r="AA373" s="37"/>
      <c r="AB373" s="38" t="str">
        <f aca="false">IF(OR(AA373="",J373=""),"",AA373*J373)</f>
        <v/>
      </c>
      <c r="AC373" s="35"/>
      <c r="AD373" s="35"/>
      <c r="AE373" s="36"/>
      <c r="AF373" s="34" t="str">
        <f aca="true">IF(OR(D373="",R373="Cancelled"),"",IF(H373="","NO QTY",IF(AND(L373="Buy",E373=""),"NO PART NO",IF(AND(W373&lt;&gt;"",NOT(OR(R373="Received",R373="NSW Purchased")),W373&lt;TODAY()),"OVERDUE",IF(AND(W373&lt;&gt;"",Q373&lt;&gt;"",W373&gt;Q373),"LATE vs REQ",IF(AND(R373="Finalized – Not Purchased",T373=""),"NEED PR",IF(AND(Y373&lt;&gt;"",Y373&lt;J373),"SHORT","")))))))</f>
        <v/>
      </c>
      <c r="AG373" s="35"/>
    </row>
    <row r="374" customFormat="false" ht="15" hidden="false" customHeight="false" outlineLevel="0" collapsed="false">
      <c r="A374" s="34" t="str">
        <f aca="false">IF(B374="","",LEFT(B374,3)&amp;"-"&amp;TEXT(COUNTIF(B$11:B374,B374),"00"))</f>
        <v/>
      </c>
      <c r="B374" s="35"/>
      <c r="C374" s="35"/>
      <c r="D374" s="35"/>
      <c r="E374" s="35"/>
      <c r="F374" s="35"/>
      <c r="G374" s="35"/>
      <c r="H374" s="35"/>
      <c r="I374" s="35"/>
      <c r="J374" s="34" t="str">
        <f aca="false">IF(H374="","",H374*IF(I374="",1,I374))</f>
        <v/>
      </c>
      <c r="K374" s="35"/>
      <c r="L374" s="35"/>
      <c r="M374" s="35"/>
      <c r="N374" s="35"/>
      <c r="O374" s="35"/>
      <c r="P374" s="36"/>
      <c r="Q374" s="36"/>
      <c r="R374" s="35"/>
      <c r="S374" s="35"/>
      <c r="T374" s="35"/>
      <c r="U374" s="35"/>
      <c r="V374" s="36"/>
      <c r="W374" s="36"/>
      <c r="X374" s="35"/>
      <c r="Y374" s="35"/>
      <c r="Z374" s="36"/>
      <c r="AA374" s="37"/>
      <c r="AB374" s="38" t="str">
        <f aca="false">IF(OR(AA374="",J374=""),"",AA374*J374)</f>
        <v/>
      </c>
      <c r="AC374" s="35"/>
      <c r="AD374" s="35"/>
      <c r="AE374" s="36"/>
      <c r="AF374" s="34" t="str">
        <f aca="true">IF(OR(D374="",R374="Cancelled"),"",IF(H374="","NO QTY",IF(AND(L374="Buy",E374=""),"NO PART NO",IF(AND(W374&lt;&gt;"",NOT(OR(R374="Received",R374="NSW Purchased")),W374&lt;TODAY()),"OVERDUE",IF(AND(W374&lt;&gt;"",Q374&lt;&gt;"",W374&gt;Q374),"LATE vs REQ",IF(AND(R374="Finalized – Not Purchased",T374=""),"NEED PR",IF(AND(Y374&lt;&gt;"",Y374&lt;J374),"SHORT","")))))))</f>
        <v/>
      </c>
      <c r="AG374" s="35"/>
    </row>
    <row r="375" customFormat="false" ht="15" hidden="false" customHeight="false" outlineLevel="0" collapsed="false">
      <c r="A375" s="34" t="str">
        <f aca="false">IF(B375="","",LEFT(B375,3)&amp;"-"&amp;TEXT(COUNTIF(B$11:B375,B375),"00"))</f>
        <v/>
      </c>
      <c r="B375" s="35"/>
      <c r="C375" s="35"/>
      <c r="D375" s="35"/>
      <c r="E375" s="35"/>
      <c r="F375" s="35"/>
      <c r="G375" s="35"/>
      <c r="H375" s="35"/>
      <c r="I375" s="35"/>
      <c r="J375" s="34" t="str">
        <f aca="false">IF(H375="","",H375*IF(I375="",1,I375))</f>
        <v/>
      </c>
      <c r="K375" s="35"/>
      <c r="L375" s="35"/>
      <c r="M375" s="35"/>
      <c r="N375" s="35"/>
      <c r="O375" s="35"/>
      <c r="P375" s="36"/>
      <c r="Q375" s="36"/>
      <c r="R375" s="35"/>
      <c r="S375" s="35"/>
      <c r="T375" s="35"/>
      <c r="U375" s="35"/>
      <c r="V375" s="36"/>
      <c r="W375" s="36"/>
      <c r="X375" s="35"/>
      <c r="Y375" s="35"/>
      <c r="Z375" s="36"/>
      <c r="AA375" s="37"/>
      <c r="AB375" s="38" t="str">
        <f aca="false">IF(OR(AA375="",J375=""),"",AA375*J375)</f>
        <v/>
      </c>
      <c r="AC375" s="35"/>
      <c r="AD375" s="35"/>
      <c r="AE375" s="36"/>
      <c r="AF375" s="34" t="str">
        <f aca="true">IF(OR(D375="",R375="Cancelled"),"",IF(H375="","NO QTY",IF(AND(L375="Buy",E375=""),"NO PART NO",IF(AND(W375&lt;&gt;"",NOT(OR(R375="Received",R375="NSW Purchased")),W375&lt;TODAY()),"OVERDUE",IF(AND(W375&lt;&gt;"",Q375&lt;&gt;"",W375&gt;Q375),"LATE vs REQ",IF(AND(R375="Finalized – Not Purchased",T375=""),"NEED PR",IF(AND(Y375&lt;&gt;"",Y375&lt;J375),"SHORT","")))))))</f>
        <v/>
      </c>
      <c r="AG375" s="35"/>
    </row>
    <row r="376" customFormat="false" ht="15" hidden="false" customHeight="false" outlineLevel="0" collapsed="false">
      <c r="A376" s="34" t="str">
        <f aca="false">IF(B376="","",LEFT(B376,3)&amp;"-"&amp;TEXT(COUNTIF(B$11:B376,B376),"00"))</f>
        <v/>
      </c>
      <c r="B376" s="35"/>
      <c r="C376" s="35"/>
      <c r="D376" s="35"/>
      <c r="E376" s="35"/>
      <c r="F376" s="35"/>
      <c r="G376" s="35"/>
      <c r="H376" s="35"/>
      <c r="I376" s="35"/>
      <c r="J376" s="34" t="str">
        <f aca="false">IF(H376="","",H376*IF(I376="",1,I376))</f>
        <v/>
      </c>
      <c r="K376" s="35"/>
      <c r="L376" s="35"/>
      <c r="M376" s="35"/>
      <c r="N376" s="35"/>
      <c r="O376" s="35"/>
      <c r="P376" s="36"/>
      <c r="Q376" s="36"/>
      <c r="R376" s="35"/>
      <c r="S376" s="35"/>
      <c r="T376" s="35"/>
      <c r="U376" s="35"/>
      <c r="V376" s="36"/>
      <c r="W376" s="36"/>
      <c r="X376" s="35"/>
      <c r="Y376" s="35"/>
      <c r="Z376" s="36"/>
      <c r="AA376" s="37"/>
      <c r="AB376" s="38" t="str">
        <f aca="false">IF(OR(AA376="",J376=""),"",AA376*J376)</f>
        <v/>
      </c>
      <c r="AC376" s="35"/>
      <c r="AD376" s="35"/>
      <c r="AE376" s="36"/>
      <c r="AF376" s="34" t="str">
        <f aca="true">IF(OR(D376="",R376="Cancelled"),"",IF(H376="","NO QTY",IF(AND(L376="Buy",E376=""),"NO PART NO",IF(AND(W376&lt;&gt;"",NOT(OR(R376="Received",R376="NSW Purchased")),W376&lt;TODAY()),"OVERDUE",IF(AND(W376&lt;&gt;"",Q376&lt;&gt;"",W376&gt;Q376),"LATE vs REQ",IF(AND(R376="Finalized – Not Purchased",T376=""),"NEED PR",IF(AND(Y376&lt;&gt;"",Y376&lt;J376),"SHORT","")))))))</f>
        <v/>
      </c>
      <c r="AG376" s="35"/>
    </row>
    <row r="377" customFormat="false" ht="15" hidden="false" customHeight="false" outlineLevel="0" collapsed="false">
      <c r="A377" s="34" t="str">
        <f aca="false">IF(B377="","",LEFT(B377,3)&amp;"-"&amp;TEXT(COUNTIF(B$11:B377,B377),"00"))</f>
        <v/>
      </c>
      <c r="B377" s="35"/>
      <c r="C377" s="35"/>
      <c r="D377" s="35"/>
      <c r="E377" s="35"/>
      <c r="F377" s="35"/>
      <c r="G377" s="35"/>
      <c r="H377" s="35"/>
      <c r="I377" s="35"/>
      <c r="J377" s="34" t="str">
        <f aca="false">IF(H377="","",H377*IF(I377="",1,I377))</f>
        <v/>
      </c>
      <c r="K377" s="35"/>
      <c r="L377" s="35"/>
      <c r="M377" s="35"/>
      <c r="N377" s="35"/>
      <c r="O377" s="35"/>
      <c r="P377" s="36"/>
      <c r="Q377" s="36"/>
      <c r="R377" s="35"/>
      <c r="S377" s="35"/>
      <c r="T377" s="35"/>
      <c r="U377" s="35"/>
      <c r="V377" s="36"/>
      <c r="W377" s="36"/>
      <c r="X377" s="35"/>
      <c r="Y377" s="35"/>
      <c r="Z377" s="36"/>
      <c r="AA377" s="37"/>
      <c r="AB377" s="38" t="str">
        <f aca="false">IF(OR(AA377="",J377=""),"",AA377*J377)</f>
        <v/>
      </c>
      <c r="AC377" s="35"/>
      <c r="AD377" s="35"/>
      <c r="AE377" s="36"/>
      <c r="AF377" s="34" t="str">
        <f aca="true">IF(OR(D377="",R377="Cancelled"),"",IF(H377="","NO QTY",IF(AND(L377="Buy",E377=""),"NO PART NO",IF(AND(W377&lt;&gt;"",NOT(OR(R377="Received",R377="NSW Purchased")),W377&lt;TODAY()),"OVERDUE",IF(AND(W377&lt;&gt;"",Q377&lt;&gt;"",W377&gt;Q377),"LATE vs REQ",IF(AND(R377="Finalized – Not Purchased",T377=""),"NEED PR",IF(AND(Y377&lt;&gt;"",Y377&lt;J377),"SHORT","")))))))</f>
        <v/>
      </c>
      <c r="AG377" s="35"/>
    </row>
    <row r="378" customFormat="false" ht="15" hidden="false" customHeight="false" outlineLevel="0" collapsed="false">
      <c r="A378" s="34" t="str">
        <f aca="false">IF(B378="","",LEFT(B378,3)&amp;"-"&amp;TEXT(COUNTIF(B$11:B378,B378),"00"))</f>
        <v/>
      </c>
      <c r="B378" s="35"/>
      <c r="C378" s="35"/>
      <c r="D378" s="35"/>
      <c r="E378" s="35"/>
      <c r="F378" s="35"/>
      <c r="G378" s="35"/>
      <c r="H378" s="35"/>
      <c r="I378" s="35"/>
      <c r="J378" s="34" t="str">
        <f aca="false">IF(H378="","",H378*IF(I378="",1,I378))</f>
        <v/>
      </c>
      <c r="K378" s="35"/>
      <c r="L378" s="35"/>
      <c r="M378" s="35"/>
      <c r="N378" s="35"/>
      <c r="O378" s="35"/>
      <c r="P378" s="36"/>
      <c r="Q378" s="36"/>
      <c r="R378" s="35"/>
      <c r="S378" s="35"/>
      <c r="T378" s="35"/>
      <c r="U378" s="35"/>
      <c r="V378" s="36"/>
      <c r="W378" s="36"/>
      <c r="X378" s="35"/>
      <c r="Y378" s="35"/>
      <c r="Z378" s="36"/>
      <c r="AA378" s="37"/>
      <c r="AB378" s="38" t="str">
        <f aca="false">IF(OR(AA378="",J378=""),"",AA378*J378)</f>
        <v/>
      </c>
      <c r="AC378" s="35"/>
      <c r="AD378" s="35"/>
      <c r="AE378" s="36"/>
      <c r="AF378" s="34" t="str">
        <f aca="true">IF(OR(D378="",R378="Cancelled"),"",IF(H378="","NO QTY",IF(AND(L378="Buy",E378=""),"NO PART NO",IF(AND(W378&lt;&gt;"",NOT(OR(R378="Received",R378="NSW Purchased")),W378&lt;TODAY()),"OVERDUE",IF(AND(W378&lt;&gt;"",Q378&lt;&gt;"",W378&gt;Q378),"LATE vs REQ",IF(AND(R378="Finalized – Not Purchased",T378=""),"NEED PR",IF(AND(Y378&lt;&gt;"",Y378&lt;J378),"SHORT","")))))))</f>
        <v/>
      </c>
      <c r="AG378" s="35"/>
    </row>
    <row r="379" customFormat="false" ht="15" hidden="false" customHeight="false" outlineLevel="0" collapsed="false">
      <c r="A379" s="34" t="str">
        <f aca="false">IF(B379="","",LEFT(B379,3)&amp;"-"&amp;TEXT(COUNTIF(B$11:B379,B379),"00"))</f>
        <v/>
      </c>
      <c r="B379" s="35"/>
      <c r="C379" s="35"/>
      <c r="D379" s="35"/>
      <c r="E379" s="35"/>
      <c r="F379" s="35"/>
      <c r="G379" s="35"/>
      <c r="H379" s="35"/>
      <c r="I379" s="35"/>
      <c r="J379" s="34" t="str">
        <f aca="false">IF(H379="","",H379*IF(I379="",1,I379))</f>
        <v/>
      </c>
      <c r="K379" s="35"/>
      <c r="L379" s="35"/>
      <c r="M379" s="35"/>
      <c r="N379" s="35"/>
      <c r="O379" s="35"/>
      <c r="P379" s="36"/>
      <c r="Q379" s="36"/>
      <c r="R379" s="35"/>
      <c r="S379" s="35"/>
      <c r="T379" s="35"/>
      <c r="U379" s="35"/>
      <c r="V379" s="36"/>
      <c r="W379" s="36"/>
      <c r="X379" s="35"/>
      <c r="Y379" s="35"/>
      <c r="Z379" s="36"/>
      <c r="AA379" s="37"/>
      <c r="AB379" s="38" t="str">
        <f aca="false">IF(OR(AA379="",J379=""),"",AA379*J379)</f>
        <v/>
      </c>
      <c r="AC379" s="35"/>
      <c r="AD379" s="35"/>
      <c r="AE379" s="36"/>
      <c r="AF379" s="34" t="str">
        <f aca="true">IF(OR(D379="",R379="Cancelled"),"",IF(H379="","NO QTY",IF(AND(L379="Buy",E379=""),"NO PART NO",IF(AND(W379&lt;&gt;"",NOT(OR(R379="Received",R379="NSW Purchased")),W379&lt;TODAY()),"OVERDUE",IF(AND(W379&lt;&gt;"",Q379&lt;&gt;"",W379&gt;Q379),"LATE vs REQ",IF(AND(R379="Finalized – Not Purchased",T379=""),"NEED PR",IF(AND(Y379&lt;&gt;"",Y379&lt;J379),"SHORT","")))))))</f>
        <v/>
      </c>
      <c r="AG379" s="35"/>
    </row>
    <row r="380" customFormat="false" ht="15" hidden="false" customHeight="false" outlineLevel="0" collapsed="false">
      <c r="A380" s="34" t="str">
        <f aca="false">IF(B380="","",LEFT(B380,3)&amp;"-"&amp;TEXT(COUNTIF(B$11:B380,B380),"00"))</f>
        <v/>
      </c>
      <c r="B380" s="35"/>
      <c r="C380" s="35"/>
      <c r="D380" s="35"/>
      <c r="E380" s="35"/>
      <c r="F380" s="35"/>
      <c r="G380" s="35"/>
      <c r="H380" s="35"/>
      <c r="I380" s="35"/>
      <c r="J380" s="34" t="str">
        <f aca="false">IF(H380="","",H380*IF(I380="",1,I380))</f>
        <v/>
      </c>
      <c r="K380" s="35"/>
      <c r="L380" s="35"/>
      <c r="M380" s="35"/>
      <c r="N380" s="35"/>
      <c r="O380" s="35"/>
      <c r="P380" s="36"/>
      <c r="Q380" s="36"/>
      <c r="R380" s="35"/>
      <c r="S380" s="35"/>
      <c r="T380" s="35"/>
      <c r="U380" s="35"/>
      <c r="V380" s="36"/>
      <c r="W380" s="36"/>
      <c r="X380" s="35"/>
      <c r="Y380" s="35"/>
      <c r="Z380" s="36"/>
      <c r="AA380" s="37"/>
      <c r="AB380" s="38" t="str">
        <f aca="false">IF(OR(AA380="",J380=""),"",AA380*J380)</f>
        <v/>
      </c>
      <c r="AC380" s="35"/>
      <c r="AD380" s="35"/>
      <c r="AE380" s="36"/>
      <c r="AF380" s="34" t="str">
        <f aca="true">IF(OR(D380="",R380="Cancelled"),"",IF(H380="","NO QTY",IF(AND(L380="Buy",E380=""),"NO PART NO",IF(AND(W380&lt;&gt;"",NOT(OR(R380="Received",R380="NSW Purchased")),W380&lt;TODAY()),"OVERDUE",IF(AND(W380&lt;&gt;"",Q380&lt;&gt;"",W380&gt;Q380),"LATE vs REQ",IF(AND(R380="Finalized – Not Purchased",T380=""),"NEED PR",IF(AND(Y380&lt;&gt;"",Y380&lt;J380),"SHORT","")))))))</f>
        <v/>
      </c>
      <c r="AG380" s="35"/>
    </row>
    <row r="381" customFormat="false" ht="15" hidden="false" customHeight="false" outlineLevel="0" collapsed="false">
      <c r="A381" s="34" t="str">
        <f aca="false">IF(B381="","",LEFT(B381,3)&amp;"-"&amp;TEXT(COUNTIF(B$11:B381,B381),"00"))</f>
        <v/>
      </c>
      <c r="B381" s="35"/>
      <c r="C381" s="35"/>
      <c r="D381" s="35"/>
      <c r="E381" s="35"/>
      <c r="F381" s="35"/>
      <c r="G381" s="35"/>
      <c r="H381" s="35"/>
      <c r="I381" s="35"/>
      <c r="J381" s="34" t="str">
        <f aca="false">IF(H381="","",H381*IF(I381="",1,I381))</f>
        <v/>
      </c>
      <c r="K381" s="35"/>
      <c r="L381" s="35"/>
      <c r="M381" s="35"/>
      <c r="N381" s="35"/>
      <c r="O381" s="35"/>
      <c r="P381" s="36"/>
      <c r="Q381" s="36"/>
      <c r="R381" s="35"/>
      <c r="S381" s="35"/>
      <c r="T381" s="35"/>
      <c r="U381" s="35"/>
      <c r="V381" s="36"/>
      <c r="W381" s="36"/>
      <c r="X381" s="35"/>
      <c r="Y381" s="35"/>
      <c r="Z381" s="36"/>
      <c r="AA381" s="37"/>
      <c r="AB381" s="38" t="str">
        <f aca="false">IF(OR(AA381="",J381=""),"",AA381*J381)</f>
        <v/>
      </c>
      <c r="AC381" s="35"/>
      <c r="AD381" s="35"/>
      <c r="AE381" s="36"/>
      <c r="AF381" s="34" t="str">
        <f aca="true">IF(OR(D381="",R381="Cancelled"),"",IF(H381="","NO QTY",IF(AND(L381="Buy",E381=""),"NO PART NO",IF(AND(W381&lt;&gt;"",NOT(OR(R381="Received",R381="NSW Purchased")),W381&lt;TODAY()),"OVERDUE",IF(AND(W381&lt;&gt;"",Q381&lt;&gt;"",W381&gt;Q381),"LATE vs REQ",IF(AND(R381="Finalized – Not Purchased",T381=""),"NEED PR",IF(AND(Y381&lt;&gt;"",Y381&lt;J381),"SHORT","")))))))</f>
        <v/>
      </c>
      <c r="AG381" s="35"/>
    </row>
    <row r="382" customFormat="false" ht="15" hidden="false" customHeight="false" outlineLevel="0" collapsed="false">
      <c r="A382" s="34" t="str">
        <f aca="false">IF(B382="","",LEFT(B382,3)&amp;"-"&amp;TEXT(COUNTIF(B$11:B382,B382),"00"))</f>
        <v/>
      </c>
      <c r="B382" s="35"/>
      <c r="C382" s="35"/>
      <c r="D382" s="35"/>
      <c r="E382" s="35"/>
      <c r="F382" s="35"/>
      <c r="G382" s="35"/>
      <c r="H382" s="35"/>
      <c r="I382" s="35"/>
      <c r="J382" s="34" t="str">
        <f aca="false">IF(H382="","",H382*IF(I382="",1,I382))</f>
        <v/>
      </c>
      <c r="K382" s="35"/>
      <c r="L382" s="35"/>
      <c r="M382" s="35"/>
      <c r="N382" s="35"/>
      <c r="O382" s="35"/>
      <c r="P382" s="36"/>
      <c r="Q382" s="36"/>
      <c r="R382" s="35"/>
      <c r="S382" s="35"/>
      <c r="T382" s="35"/>
      <c r="U382" s="35"/>
      <c r="V382" s="36"/>
      <c r="W382" s="36"/>
      <c r="X382" s="35"/>
      <c r="Y382" s="35"/>
      <c r="Z382" s="36"/>
      <c r="AA382" s="37"/>
      <c r="AB382" s="38" t="str">
        <f aca="false">IF(OR(AA382="",J382=""),"",AA382*J382)</f>
        <v/>
      </c>
      <c r="AC382" s="35"/>
      <c r="AD382" s="35"/>
      <c r="AE382" s="36"/>
      <c r="AF382" s="34" t="str">
        <f aca="true">IF(OR(D382="",R382="Cancelled"),"",IF(H382="","NO QTY",IF(AND(L382="Buy",E382=""),"NO PART NO",IF(AND(W382&lt;&gt;"",NOT(OR(R382="Received",R382="NSW Purchased")),W382&lt;TODAY()),"OVERDUE",IF(AND(W382&lt;&gt;"",Q382&lt;&gt;"",W382&gt;Q382),"LATE vs REQ",IF(AND(R382="Finalized – Not Purchased",T382=""),"NEED PR",IF(AND(Y382&lt;&gt;"",Y382&lt;J382),"SHORT","")))))))</f>
        <v/>
      </c>
      <c r="AG382" s="35"/>
    </row>
    <row r="383" customFormat="false" ht="15" hidden="false" customHeight="false" outlineLevel="0" collapsed="false">
      <c r="A383" s="34" t="str">
        <f aca="false">IF(B383="","",LEFT(B383,3)&amp;"-"&amp;TEXT(COUNTIF(B$11:B383,B383),"00"))</f>
        <v/>
      </c>
      <c r="B383" s="35"/>
      <c r="C383" s="35"/>
      <c r="D383" s="35"/>
      <c r="E383" s="35"/>
      <c r="F383" s="35"/>
      <c r="G383" s="35"/>
      <c r="H383" s="35"/>
      <c r="I383" s="35"/>
      <c r="J383" s="34" t="str">
        <f aca="false">IF(H383="","",H383*IF(I383="",1,I383))</f>
        <v/>
      </c>
      <c r="K383" s="35"/>
      <c r="L383" s="35"/>
      <c r="M383" s="35"/>
      <c r="N383" s="35"/>
      <c r="O383" s="35"/>
      <c r="P383" s="36"/>
      <c r="Q383" s="36"/>
      <c r="R383" s="35"/>
      <c r="S383" s="35"/>
      <c r="T383" s="35"/>
      <c r="U383" s="35"/>
      <c r="V383" s="36"/>
      <c r="W383" s="36"/>
      <c r="X383" s="35"/>
      <c r="Y383" s="35"/>
      <c r="Z383" s="36"/>
      <c r="AA383" s="37"/>
      <c r="AB383" s="38" t="str">
        <f aca="false">IF(OR(AA383="",J383=""),"",AA383*J383)</f>
        <v/>
      </c>
      <c r="AC383" s="35"/>
      <c r="AD383" s="35"/>
      <c r="AE383" s="36"/>
      <c r="AF383" s="34" t="str">
        <f aca="true">IF(OR(D383="",R383="Cancelled"),"",IF(H383="","NO QTY",IF(AND(L383="Buy",E383=""),"NO PART NO",IF(AND(W383&lt;&gt;"",NOT(OR(R383="Received",R383="NSW Purchased")),W383&lt;TODAY()),"OVERDUE",IF(AND(W383&lt;&gt;"",Q383&lt;&gt;"",W383&gt;Q383),"LATE vs REQ",IF(AND(R383="Finalized – Not Purchased",T383=""),"NEED PR",IF(AND(Y383&lt;&gt;"",Y383&lt;J383),"SHORT","")))))))</f>
        <v/>
      </c>
      <c r="AG383" s="35"/>
    </row>
    <row r="384" customFormat="false" ht="15" hidden="false" customHeight="false" outlineLevel="0" collapsed="false">
      <c r="A384" s="34" t="str">
        <f aca="false">IF(B384="","",LEFT(B384,3)&amp;"-"&amp;TEXT(COUNTIF(B$11:B384,B384),"00"))</f>
        <v/>
      </c>
      <c r="B384" s="35"/>
      <c r="C384" s="35"/>
      <c r="D384" s="35"/>
      <c r="E384" s="35"/>
      <c r="F384" s="35"/>
      <c r="G384" s="35"/>
      <c r="H384" s="35"/>
      <c r="I384" s="35"/>
      <c r="J384" s="34" t="str">
        <f aca="false">IF(H384="","",H384*IF(I384="",1,I384))</f>
        <v/>
      </c>
      <c r="K384" s="35"/>
      <c r="L384" s="35"/>
      <c r="M384" s="35"/>
      <c r="N384" s="35"/>
      <c r="O384" s="35"/>
      <c r="P384" s="36"/>
      <c r="Q384" s="36"/>
      <c r="R384" s="35"/>
      <c r="S384" s="35"/>
      <c r="T384" s="35"/>
      <c r="U384" s="35"/>
      <c r="V384" s="36"/>
      <c r="W384" s="36"/>
      <c r="X384" s="35"/>
      <c r="Y384" s="35"/>
      <c r="Z384" s="36"/>
      <c r="AA384" s="37"/>
      <c r="AB384" s="38" t="str">
        <f aca="false">IF(OR(AA384="",J384=""),"",AA384*J384)</f>
        <v/>
      </c>
      <c r="AC384" s="35"/>
      <c r="AD384" s="35"/>
      <c r="AE384" s="36"/>
      <c r="AF384" s="34" t="str">
        <f aca="true">IF(OR(D384="",R384="Cancelled"),"",IF(H384="","NO QTY",IF(AND(L384="Buy",E384=""),"NO PART NO",IF(AND(W384&lt;&gt;"",NOT(OR(R384="Received",R384="NSW Purchased")),W384&lt;TODAY()),"OVERDUE",IF(AND(W384&lt;&gt;"",Q384&lt;&gt;"",W384&gt;Q384),"LATE vs REQ",IF(AND(R384="Finalized – Not Purchased",T384=""),"NEED PR",IF(AND(Y384&lt;&gt;"",Y384&lt;J384),"SHORT","")))))))</f>
        <v/>
      </c>
      <c r="AG384" s="35"/>
    </row>
    <row r="385" customFormat="false" ht="15" hidden="false" customHeight="false" outlineLevel="0" collapsed="false">
      <c r="A385" s="34" t="str">
        <f aca="false">IF(B385="","",LEFT(B385,3)&amp;"-"&amp;TEXT(COUNTIF(B$11:B385,B385),"00"))</f>
        <v/>
      </c>
      <c r="B385" s="35"/>
      <c r="C385" s="35"/>
      <c r="D385" s="35"/>
      <c r="E385" s="35"/>
      <c r="F385" s="35"/>
      <c r="G385" s="35"/>
      <c r="H385" s="35"/>
      <c r="I385" s="35"/>
      <c r="J385" s="34" t="str">
        <f aca="false">IF(H385="","",H385*IF(I385="",1,I385))</f>
        <v/>
      </c>
      <c r="K385" s="35"/>
      <c r="L385" s="35"/>
      <c r="M385" s="35"/>
      <c r="N385" s="35"/>
      <c r="O385" s="35"/>
      <c r="P385" s="36"/>
      <c r="Q385" s="36"/>
      <c r="R385" s="35"/>
      <c r="S385" s="35"/>
      <c r="T385" s="35"/>
      <c r="U385" s="35"/>
      <c r="V385" s="36"/>
      <c r="W385" s="36"/>
      <c r="X385" s="35"/>
      <c r="Y385" s="35"/>
      <c r="Z385" s="36"/>
      <c r="AA385" s="37"/>
      <c r="AB385" s="38" t="str">
        <f aca="false">IF(OR(AA385="",J385=""),"",AA385*J385)</f>
        <v/>
      </c>
      <c r="AC385" s="35"/>
      <c r="AD385" s="35"/>
      <c r="AE385" s="36"/>
      <c r="AF385" s="34" t="str">
        <f aca="true">IF(OR(D385="",R385="Cancelled"),"",IF(H385="","NO QTY",IF(AND(L385="Buy",E385=""),"NO PART NO",IF(AND(W385&lt;&gt;"",NOT(OR(R385="Received",R385="NSW Purchased")),W385&lt;TODAY()),"OVERDUE",IF(AND(W385&lt;&gt;"",Q385&lt;&gt;"",W385&gt;Q385),"LATE vs REQ",IF(AND(R385="Finalized – Not Purchased",T385=""),"NEED PR",IF(AND(Y385&lt;&gt;"",Y385&lt;J385),"SHORT","")))))))</f>
        <v/>
      </c>
      <c r="AG385" s="35"/>
    </row>
    <row r="386" customFormat="false" ht="15" hidden="false" customHeight="false" outlineLevel="0" collapsed="false">
      <c r="A386" s="34" t="str">
        <f aca="false">IF(B386="","",LEFT(B386,3)&amp;"-"&amp;TEXT(COUNTIF(B$11:B386,B386),"00"))</f>
        <v/>
      </c>
      <c r="B386" s="35"/>
      <c r="C386" s="35"/>
      <c r="D386" s="35"/>
      <c r="E386" s="35"/>
      <c r="F386" s="35"/>
      <c r="G386" s="35"/>
      <c r="H386" s="35"/>
      <c r="I386" s="35"/>
      <c r="J386" s="34" t="str">
        <f aca="false">IF(H386="","",H386*IF(I386="",1,I386))</f>
        <v/>
      </c>
      <c r="K386" s="35"/>
      <c r="L386" s="35"/>
      <c r="M386" s="35"/>
      <c r="N386" s="35"/>
      <c r="O386" s="35"/>
      <c r="P386" s="36"/>
      <c r="Q386" s="36"/>
      <c r="R386" s="35"/>
      <c r="S386" s="35"/>
      <c r="T386" s="35"/>
      <c r="U386" s="35"/>
      <c r="V386" s="36"/>
      <c r="W386" s="36"/>
      <c r="X386" s="35"/>
      <c r="Y386" s="35"/>
      <c r="Z386" s="36"/>
      <c r="AA386" s="37"/>
      <c r="AB386" s="38" t="str">
        <f aca="false">IF(OR(AA386="",J386=""),"",AA386*J386)</f>
        <v/>
      </c>
      <c r="AC386" s="35"/>
      <c r="AD386" s="35"/>
      <c r="AE386" s="36"/>
      <c r="AF386" s="34" t="str">
        <f aca="true">IF(OR(D386="",R386="Cancelled"),"",IF(H386="","NO QTY",IF(AND(L386="Buy",E386=""),"NO PART NO",IF(AND(W386&lt;&gt;"",NOT(OR(R386="Received",R386="NSW Purchased")),W386&lt;TODAY()),"OVERDUE",IF(AND(W386&lt;&gt;"",Q386&lt;&gt;"",W386&gt;Q386),"LATE vs REQ",IF(AND(R386="Finalized – Not Purchased",T386=""),"NEED PR",IF(AND(Y386&lt;&gt;"",Y386&lt;J386),"SHORT","")))))))</f>
        <v/>
      </c>
      <c r="AG386" s="35"/>
    </row>
    <row r="387" customFormat="false" ht="15" hidden="false" customHeight="false" outlineLevel="0" collapsed="false">
      <c r="A387" s="34" t="str">
        <f aca="false">IF(B387="","",LEFT(B387,3)&amp;"-"&amp;TEXT(COUNTIF(B$11:B387,B387),"00"))</f>
        <v/>
      </c>
      <c r="B387" s="35"/>
      <c r="C387" s="35"/>
      <c r="D387" s="35"/>
      <c r="E387" s="35"/>
      <c r="F387" s="35"/>
      <c r="G387" s="35"/>
      <c r="H387" s="35"/>
      <c r="I387" s="35"/>
      <c r="J387" s="34" t="str">
        <f aca="false">IF(H387="","",H387*IF(I387="",1,I387))</f>
        <v/>
      </c>
      <c r="K387" s="35"/>
      <c r="L387" s="35"/>
      <c r="M387" s="35"/>
      <c r="N387" s="35"/>
      <c r="O387" s="35"/>
      <c r="P387" s="36"/>
      <c r="Q387" s="36"/>
      <c r="R387" s="35"/>
      <c r="S387" s="35"/>
      <c r="T387" s="35"/>
      <c r="U387" s="35"/>
      <c r="V387" s="36"/>
      <c r="W387" s="36"/>
      <c r="X387" s="35"/>
      <c r="Y387" s="35"/>
      <c r="Z387" s="36"/>
      <c r="AA387" s="37"/>
      <c r="AB387" s="38" t="str">
        <f aca="false">IF(OR(AA387="",J387=""),"",AA387*J387)</f>
        <v/>
      </c>
      <c r="AC387" s="35"/>
      <c r="AD387" s="35"/>
      <c r="AE387" s="36"/>
      <c r="AF387" s="34" t="str">
        <f aca="true">IF(OR(D387="",R387="Cancelled"),"",IF(H387="","NO QTY",IF(AND(L387="Buy",E387=""),"NO PART NO",IF(AND(W387&lt;&gt;"",NOT(OR(R387="Received",R387="NSW Purchased")),W387&lt;TODAY()),"OVERDUE",IF(AND(W387&lt;&gt;"",Q387&lt;&gt;"",W387&gt;Q387),"LATE vs REQ",IF(AND(R387="Finalized – Not Purchased",T387=""),"NEED PR",IF(AND(Y387&lt;&gt;"",Y387&lt;J387),"SHORT","")))))))</f>
        <v/>
      </c>
      <c r="AG387" s="35"/>
    </row>
    <row r="388" customFormat="false" ht="15" hidden="false" customHeight="false" outlineLevel="0" collapsed="false">
      <c r="A388" s="34" t="str">
        <f aca="false">IF(B388="","",LEFT(B388,3)&amp;"-"&amp;TEXT(COUNTIF(B$11:B388,B388),"00"))</f>
        <v/>
      </c>
      <c r="B388" s="35"/>
      <c r="C388" s="35"/>
      <c r="D388" s="35"/>
      <c r="E388" s="35"/>
      <c r="F388" s="35"/>
      <c r="G388" s="35"/>
      <c r="H388" s="35"/>
      <c r="I388" s="35"/>
      <c r="J388" s="34" t="str">
        <f aca="false">IF(H388="","",H388*IF(I388="",1,I388))</f>
        <v/>
      </c>
      <c r="K388" s="35"/>
      <c r="L388" s="35"/>
      <c r="M388" s="35"/>
      <c r="N388" s="35"/>
      <c r="O388" s="35"/>
      <c r="P388" s="36"/>
      <c r="Q388" s="36"/>
      <c r="R388" s="35"/>
      <c r="S388" s="35"/>
      <c r="T388" s="35"/>
      <c r="U388" s="35"/>
      <c r="V388" s="36"/>
      <c r="W388" s="36"/>
      <c r="X388" s="35"/>
      <c r="Y388" s="35"/>
      <c r="Z388" s="36"/>
      <c r="AA388" s="37"/>
      <c r="AB388" s="38" t="str">
        <f aca="false">IF(OR(AA388="",J388=""),"",AA388*J388)</f>
        <v/>
      </c>
      <c r="AC388" s="35"/>
      <c r="AD388" s="35"/>
      <c r="AE388" s="36"/>
      <c r="AF388" s="34" t="str">
        <f aca="true">IF(OR(D388="",R388="Cancelled"),"",IF(H388="","NO QTY",IF(AND(L388="Buy",E388=""),"NO PART NO",IF(AND(W388&lt;&gt;"",NOT(OR(R388="Received",R388="NSW Purchased")),W388&lt;TODAY()),"OVERDUE",IF(AND(W388&lt;&gt;"",Q388&lt;&gt;"",W388&gt;Q388),"LATE vs REQ",IF(AND(R388="Finalized – Not Purchased",T388=""),"NEED PR",IF(AND(Y388&lt;&gt;"",Y388&lt;J388),"SHORT","")))))))</f>
        <v/>
      </c>
      <c r="AG388" s="35"/>
    </row>
    <row r="389" customFormat="false" ht="15" hidden="false" customHeight="false" outlineLevel="0" collapsed="false">
      <c r="A389" s="34" t="str">
        <f aca="false">IF(B389="","",LEFT(B389,3)&amp;"-"&amp;TEXT(COUNTIF(B$11:B389,B389),"00"))</f>
        <v/>
      </c>
      <c r="B389" s="35"/>
      <c r="C389" s="35"/>
      <c r="D389" s="35"/>
      <c r="E389" s="35"/>
      <c r="F389" s="35"/>
      <c r="G389" s="35"/>
      <c r="H389" s="35"/>
      <c r="I389" s="35"/>
      <c r="J389" s="34" t="str">
        <f aca="false">IF(H389="","",H389*IF(I389="",1,I389))</f>
        <v/>
      </c>
      <c r="K389" s="35"/>
      <c r="L389" s="35"/>
      <c r="M389" s="35"/>
      <c r="N389" s="35"/>
      <c r="O389" s="35"/>
      <c r="P389" s="36"/>
      <c r="Q389" s="36"/>
      <c r="R389" s="35"/>
      <c r="S389" s="35"/>
      <c r="T389" s="35"/>
      <c r="U389" s="35"/>
      <c r="V389" s="36"/>
      <c r="W389" s="36"/>
      <c r="X389" s="35"/>
      <c r="Y389" s="35"/>
      <c r="Z389" s="36"/>
      <c r="AA389" s="37"/>
      <c r="AB389" s="38" t="str">
        <f aca="false">IF(OR(AA389="",J389=""),"",AA389*J389)</f>
        <v/>
      </c>
      <c r="AC389" s="35"/>
      <c r="AD389" s="35"/>
      <c r="AE389" s="36"/>
      <c r="AF389" s="34" t="str">
        <f aca="true">IF(OR(D389="",R389="Cancelled"),"",IF(H389="","NO QTY",IF(AND(L389="Buy",E389=""),"NO PART NO",IF(AND(W389&lt;&gt;"",NOT(OR(R389="Received",R389="NSW Purchased")),W389&lt;TODAY()),"OVERDUE",IF(AND(W389&lt;&gt;"",Q389&lt;&gt;"",W389&gt;Q389),"LATE vs REQ",IF(AND(R389="Finalized – Not Purchased",T389=""),"NEED PR",IF(AND(Y389&lt;&gt;"",Y389&lt;J389),"SHORT","")))))))</f>
        <v/>
      </c>
      <c r="AG389" s="35"/>
    </row>
    <row r="390" customFormat="false" ht="15" hidden="false" customHeight="false" outlineLevel="0" collapsed="false">
      <c r="A390" s="34" t="str">
        <f aca="false">IF(B390="","",LEFT(B390,3)&amp;"-"&amp;TEXT(COUNTIF(B$11:B390,B390),"00"))</f>
        <v/>
      </c>
      <c r="B390" s="35"/>
      <c r="C390" s="35"/>
      <c r="D390" s="35"/>
      <c r="E390" s="35"/>
      <c r="F390" s="35"/>
      <c r="G390" s="35"/>
      <c r="H390" s="35"/>
      <c r="I390" s="35"/>
      <c r="J390" s="34" t="str">
        <f aca="false">IF(H390="","",H390*IF(I390="",1,I390))</f>
        <v/>
      </c>
      <c r="K390" s="35"/>
      <c r="L390" s="35"/>
      <c r="M390" s="35"/>
      <c r="N390" s="35"/>
      <c r="O390" s="35"/>
      <c r="P390" s="36"/>
      <c r="Q390" s="36"/>
      <c r="R390" s="35"/>
      <c r="S390" s="35"/>
      <c r="T390" s="35"/>
      <c r="U390" s="35"/>
      <c r="V390" s="36"/>
      <c r="W390" s="36"/>
      <c r="X390" s="35"/>
      <c r="Y390" s="35"/>
      <c r="Z390" s="36"/>
      <c r="AA390" s="37"/>
      <c r="AB390" s="38" t="str">
        <f aca="false">IF(OR(AA390="",J390=""),"",AA390*J390)</f>
        <v/>
      </c>
      <c r="AC390" s="35"/>
      <c r="AD390" s="35"/>
      <c r="AE390" s="36"/>
      <c r="AF390" s="34" t="str">
        <f aca="true">IF(OR(D390="",R390="Cancelled"),"",IF(H390="","NO QTY",IF(AND(L390="Buy",E390=""),"NO PART NO",IF(AND(W390&lt;&gt;"",NOT(OR(R390="Received",R390="NSW Purchased")),W390&lt;TODAY()),"OVERDUE",IF(AND(W390&lt;&gt;"",Q390&lt;&gt;"",W390&gt;Q390),"LATE vs REQ",IF(AND(R390="Finalized – Not Purchased",T390=""),"NEED PR",IF(AND(Y390&lt;&gt;"",Y390&lt;J390),"SHORT","")))))))</f>
        <v/>
      </c>
      <c r="AG390" s="35"/>
    </row>
    <row r="391" customFormat="false" ht="15" hidden="false" customHeight="false" outlineLevel="0" collapsed="false">
      <c r="A391" s="34" t="str">
        <f aca="false">IF(B391="","",LEFT(B391,3)&amp;"-"&amp;TEXT(COUNTIF(B$11:B391,B391),"00"))</f>
        <v/>
      </c>
      <c r="B391" s="35"/>
      <c r="C391" s="35"/>
      <c r="D391" s="35"/>
      <c r="E391" s="35"/>
      <c r="F391" s="35"/>
      <c r="G391" s="35"/>
      <c r="H391" s="35"/>
      <c r="I391" s="35"/>
      <c r="J391" s="34" t="str">
        <f aca="false">IF(H391="","",H391*IF(I391="",1,I391))</f>
        <v/>
      </c>
      <c r="K391" s="35"/>
      <c r="L391" s="35"/>
      <c r="M391" s="35"/>
      <c r="N391" s="35"/>
      <c r="O391" s="35"/>
      <c r="P391" s="36"/>
      <c r="Q391" s="36"/>
      <c r="R391" s="35"/>
      <c r="S391" s="35"/>
      <c r="T391" s="35"/>
      <c r="U391" s="35"/>
      <c r="V391" s="36"/>
      <c r="W391" s="36"/>
      <c r="X391" s="35"/>
      <c r="Y391" s="35"/>
      <c r="Z391" s="36"/>
      <c r="AA391" s="37"/>
      <c r="AB391" s="38" t="str">
        <f aca="false">IF(OR(AA391="",J391=""),"",AA391*J391)</f>
        <v/>
      </c>
      <c r="AC391" s="35"/>
      <c r="AD391" s="35"/>
      <c r="AE391" s="36"/>
      <c r="AF391" s="34" t="str">
        <f aca="true">IF(OR(D391="",R391="Cancelled"),"",IF(H391="","NO QTY",IF(AND(L391="Buy",E391=""),"NO PART NO",IF(AND(W391&lt;&gt;"",NOT(OR(R391="Received",R391="NSW Purchased")),W391&lt;TODAY()),"OVERDUE",IF(AND(W391&lt;&gt;"",Q391&lt;&gt;"",W391&gt;Q391),"LATE vs REQ",IF(AND(R391="Finalized – Not Purchased",T391=""),"NEED PR",IF(AND(Y391&lt;&gt;"",Y391&lt;J391),"SHORT","")))))))</f>
        <v/>
      </c>
      <c r="AG391" s="35"/>
    </row>
    <row r="392" customFormat="false" ht="15" hidden="false" customHeight="false" outlineLevel="0" collapsed="false">
      <c r="A392" s="34" t="str">
        <f aca="false">IF(B392="","",LEFT(B392,3)&amp;"-"&amp;TEXT(COUNTIF(B$11:B392,B392),"00"))</f>
        <v/>
      </c>
      <c r="B392" s="35"/>
      <c r="C392" s="35"/>
      <c r="D392" s="35"/>
      <c r="E392" s="35"/>
      <c r="F392" s="35"/>
      <c r="G392" s="35"/>
      <c r="H392" s="35"/>
      <c r="I392" s="35"/>
      <c r="J392" s="34" t="str">
        <f aca="false">IF(H392="","",H392*IF(I392="",1,I392))</f>
        <v/>
      </c>
      <c r="K392" s="35"/>
      <c r="L392" s="35"/>
      <c r="M392" s="35"/>
      <c r="N392" s="35"/>
      <c r="O392" s="35"/>
      <c r="P392" s="36"/>
      <c r="Q392" s="36"/>
      <c r="R392" s="35"/>
      <c r="S392" s="35"/>
      <c r="T392" s="35"/>
      <c r="U392" s="35"/>
      <c r="V392" s="36"/>
      <c r="W392" s="36"/>
      <c r="X392" s="35"/>
      <c r="Y392" s="35"/>
      <c r="Z392" s="36"/>
      <c r="AA392" s="37"/>
      <c r="AB392" s="38" t="str">
        <f aca="false">IF(OR(AA392="",J392=""),"",AA392*J392)</f>
        <v/>
      </c>
      <c r="AC392" s="35"/>
      <c r="AD392" s="35"/>
      <c r="AE392" s="36"/>
      <c r="AF392" s="34" t="str">
        <f aca="true">IF(OR(D392="",R392="Cancelled"),"",IF(H392="","NO QTY",IF(AND(L392="Buy",E392=""),"NO PART NO",IF(AND(W392&lt;&gt;"",NOT(OR(R392="Received",R392="NSW Purchased")),W392&lt;TODAY()),"OVERDUE",IF(AND(W392&lt;&gt;"",Q392&lt;&gt;"",W392&gt;Q392),"LATE vs REQ",IF(AND(R392="Finalized – Not Purchased",T392=""),"NEED PR",IF(AND(Y392&lt;&gt;"",Y392&lt;J392),"SHORT","")))))))</f>
        <v/>
      </c>
      <c r="AG392" s="35"/>
    </row>
    <row r="393" customFormat="false" ht="15" hidden="false" customHeight="false" outlineLevel="0" collapsed="false">
      <c r="A393" s="34" t="str">
        <f aca="false">IF(B393="","",LEFT(B393,3)&amp;"-"&amp;TEXT(COUNTIF(B$11:B393,B393),"00"))</f>
        <v/>
      </c>
      <c r="B393" s="35"/>
      <c r="C393" s="35"/>
      <c r="D393" s="35"/>
      <c r="E393" s="35"/>
      <c r="F393" s="35"/>
      <c r="G393" s="35"/>
      <c r="H393" s="35"/>
      <c r="I393" s="35"/>
      <c r="J393" s="34" t="str">
        <f aca="false">IF(H393="","",H393*IF(I393="",1,I393))</f>
        <v/>
      </c>
      <c r="K393" s="35"/>
      <c r="L393" s="35"/>
      <c r="M393" s="35"/>
      <c r="N393" s="35"/>
      <c r="O393" s="35"/>
      <c r="P393" s="36"/>
      <c r="Q393" s="36"/>
      <c r="R393" s="35"/>
      <c r="S393" s="35"/>
      <c r="T393" s="35"/>
      <c r="U393" s="35"/>
      <c r="V393" s="36"/>
      <c r="W393" s="36"/>
      <c r="X393" s="35"/>
      <c r="Y393" s="35"/>
      <c r="Z393" s="36"/>
      <c r="AA393" s="37"/>
      <c r="AB393" s="38" t="str">
        <f aca="false">IF(OR(AA393="",J393=""),"",AA393*J393)</f>
        <v/>
      </c>
      <c r="AC393" s="35"/>
      <c r="AD393" s="35"/>
      <c r="AE393" s="36"/>
      <c r="AF393" s="34" t="str">
        <f aca="true">IF(OR(D393="",R393="Cancelled"),"",IF(H393="","NO QTY",IF(AND(L393="Buy",E393=""),"NO PART NO",IF(AND(W393&lt;&gt;"",NOT(OR(R393="Received",R393="NSW Purchased")),W393&lt;TODAY()),"OVERDUE",IF(AND(W393&lt;&gt;"",Q393&lt;&gt;"",W393&gt;Q393),"LATE vs REQ",IF(AND(R393="Finalized – Not Purchased",T393=""),"NEED PR",IF(AND(Y393&lt;&gt;"",Y393&lt;J393),"SHORT","")))))))</f>
        <v/>
      </c>
      <c r="AG393" s="35"/>
    </row>
    <row r="394" customFormat="false" ht="15" hidden="false" customHeight="false" outlineLevel="0" collapsed="false">
      <c r="A394" s="34" t="str">
        <f aca="false">IF(B394="","",LEFT(B394,3)&amp;"-"&amp;TEXT(COUNTIF(B$11:B394,B394),"00"))</f>
        <v/>
      </c>
      <c r="B394" s="35"/>
      <c r="C394" s="35"/>
      <c r="D394" s="35"/>
      <c r="E394" s="35"/>
      <c r="F394" s="35"/>
      <c r="G394" s="35"/>
      <c r="H394" s="35"/>
      <c r="I394" s="35"/>
      <c r="J394" s="34" t="str">
        <f aca="false">IF(H394="","",H394*IF(I394="",1,I394))</f>
        <v/>
      </c>
      <c r="K394" s="35"/>
      <c r="L394" s="35"/>
      <c r="M394" s="35"/>
      <c r="N394" s="35"/>
      <c r="O394" s="35"/>
      <c r="P394" s="36"/>
      <c r="Q394" s="36"/>
      <c r="R394" s="35"/>
      <c r="S394" s="35"/>
      <c r="T394" s="35"/>
      <c r="U394" s="35"/>
      <c r="V394" s="36"/>
      <c r="W394" s="36"/>
      <c r="X394" s="35"/>
      <c r="Y394" s="35"/>
      <c r="Z394" s="36"/>
      <c r="AA394" s="37"/>
      <c r="AB394" s="38" t="str">
        <f aca="false">IF(OR(AA394="",J394=""),"",AA394*J394)</f>
        <v/>
      </c>
      <c r="AC394" s="35"/>
      <c r="AD394" s="35"/>
      <c r="AE394" s="36"/>
      <c r="AF394" s="34" t="str">
        <f aca="true">IF(OR(D394="",R394="Cancelled"),"",IF(H394="","NO QTY",IF(AND(L394="Buy",E394=""),"NO PART NO",IF(AND(W394&lt;&gt;"",NOT(OR(R394="Received",R394="NSW Purchased")),W394&lt;TODAY()),"OVERDUE",IF(AND(W394&lt;&gt;"",Q394&lt;&gt;"",W394&gt;Q394),"LATE vs REQ",IF(AND(R394="Finalized – Not Purchased",T394=""),"NEED PR",IF(AND(Y394&lt;&gt;"",Y394&lt;J394),"SHORT","")))))))</f>
        <v/>
      </c>
      <c r="AG394" s="35"/>
    </row>
    <row r="395" customFormat="false" ht="15" hidden="false" customHeight="false" outlineLevel="0" collapsed="false">
      <c r="A395" s="34" t="str">
        <f aca="false">IF(B395="","",LEFT(B395,3)&amp;"-"&amp;TEXT(COUNTIF(B$11:B395,B395),"00"))</f>
        <v/>
      </c>
      <c r="B395" s="35"/>
      <c r="C395" s="35"/>
      <c r="D395" s="35"/>
      <c r="E395" s="35"/>
      <c r="F395" s="35"/>
      <c r="G395" s="35"/>
      <c r="H395" s="35"/>
      <c r="I395" s="35"/>
      <c r="J395" s="34" t="str">
        <f aca="false">IF(H395="","",H395*IF(I395="",1,I395))</f>
        <v/>
      </c>
      <c r="K395" s="35"/>
      <c r="L395" s="35"/>
      <c r="M395" s="35"/>
      <c r="N395" s="35"/>
      <c r="O395" s="35"/>
      <c r="P395" s="36"/>
      <c r="Q395" s="36"/>
      <c r="R395" s="35"/>
      <c r="S395" s="35"/>
      <c r="T395" s="35"/>
      <c r="U395" s="35"/>
      <c r="V395" s="36"/>
      <c r="W395" s="36"/>
      <c r="X395" s="35"/>
      <c r="Y395" s="35"/>
      <c r="Z395" s="36"/>
      <c r="AA395" s="37"/>
      <c r="AB395" s="38" t="str">
        <f aca="false">IF(OR(AA395="",J395=""),"",AA395*J395)</f>
        <v/>
      </c>
      <c r="AC395" s="35"/>
      <c r="AD395" s="35"/>
      <c r="AE395" s="36"/>
      <c r="AF395" s="34" t="str">
        <f aca="true">IF(OR(D395="",R395="Cancelled"),"",IF(H395="","NO QTY",IF(AND(L395="Buy",E395=""),"NO PART NO",IF(AND(W395&lt;&gt;"",NOT(OR(R395="Received",R395="NSW Purchased")),W395&lt;TODAY()),"OVERDUE",IF(AND(W395&lt;&gt;"",Q395&lt;&gt;"",W395&gt;Q395),"LATE vs REQ",IF(AND(R395="Finalized – Not Purchased",T395=""),"NEED PR",IF(AND(Y395&lt;&gt;"",Y395&lt;J395),"SHORT","")))))))</f>
        <v/>
      </c>
      <c r="AG395" s="35"/>
    </row>
    <row r="396" customFormat="false" ht="15" hidden="false" customHeight="false" outlineLevel="0" collapsed="false">
      <c r="A396" s="34" t="str">
        <f aca="false">IF(B396="","",LEFT(B396,3)&amp;"-"&amp;TEXT(COUNTIF(B$11:B396,B396),"00"))</f>
        <v/>
      </c>
      <c r="B396" s="35"/>
      <c r="C396" s="35"/>
      <c r="D396" s="35"/>
      <c r="E396" s="35"/>
      <c r="F396" s="35"/>
      <c r="G396" s="35"/>
      <c r="H396" s="35"/>
      <c r="I396" s="35"/>
      <c r="J396" s="34" t="str">
        <f aca="false">IF(H396="","",H396*IF(I396="",1,I396))</f>
        <v/>
      </c>
      <c r="K396" s="35"/>
      <c r="L396" s="35"/>
      <c r="M396" s="35"/>
      <c r="N396" s="35"/>
      <c r="O396" s="35"/>
      <c r="P396" s="36"/>
      <c r="Q396" s="36"/>
      <c r="R396" s="35"/>
      <c r="S396" s="35"/>
      <c r="T396" s="35"/>
      <c r="U396" s="35"/>
      <c r="V396" s="36"/>
      <c r="W396" s="36"/>
      <c r="X396" s="35"/>
      <c r="Y396" s="35"/>
      <c r="Z396" s="36"/>
      <c r="AA396" s="37"/>
      <c r="AB396" s="38" t="str">
        <f aca="false">IF(OR(AA396="",J396=""),"",AA396*J396)</f>
        <v/>
      </c>
      <c r="AC396" s="35"/>
      <c r="AD396" s="35"/>
      <c r="AE396" s="36"/>
      <c r="AF396" s="34" t="str">
        <f aca="true">IF(OR(D396="",R396="Cancelled"),"",IF(H396="","NO QTY",IF(AND(L396="Buy",E396=""),"NO PART NO",IF(AND(W396&lt;&gt;"",NOT(OR(R396="Received",R396="NSW Purchased")),W396&lt;TODAY()),"OVERDUE",IF(AND(W396&lt;&gt;"",Q396&lt;&gt;"",W396&gt;Q396),"LATE vs REQ",IF(AND(R396="Finalized – Not Purchased",T396=""),"NEED PR",IF(AND(Y396&lt;&gt;"",Y396&lt;J396),"SHORT","")))))))</f>
        <v/>
      </c>
      <c r="AG396" s="35"/>
    </row>
    <row r="397" customFormat="false" ht="15" hidden="false" customHeight="false" outlineLevel="0" collapsed="false">
      <c r="A397" s="34" t="str">
        <f aca="false">IF(B397="","",LEFT(B397,3)&amp;"-"&amp;TEXT(COUNTIF(B$11:B397,B397),"00"))</f>
        <v/>
      </c>
      <c r="B397" s="35"/>
      <c r="C397" s="35"/>
      <c r="D397" s="35"/>
      <c r="E397" s="35"/>
      <c r="F397" s="35"/>
      <c r="G397" s="35"/>
      <c r="H397" s="35"/>
      <c r="I397" s="35"/>
      <c r="J397" s="34" t="str">
        <f aca="false">IF(H397="","",H397*IF(I397="",1,I397))</f>
        <v/>
      </c>
      <c r="K397" s="35"/>
      <c r="L397" s="35"/>
      <c r="M397" s="35"/>
      <c r="N397" s="35"/>
      <c r="O397" s="35"/>
      <c r="P397" s="36"/>
      <c r="Q397" s="36"/>
      <c r="R397" s="35"/>
      <c r="S397" s="35"/>
      <c r="T397" s="35"/>
      <c r="U397" s="35"/>
      <c r="V397" s="36"/>
      <c r="W397" s="36"/>
      <c r="X397" s="35"/>
      <c r="Y397" s="35"/>
      <c r="Z397" s="36"/>
      <c r="AA397" s="37"/>
      <c r="AB397" s="38" t="str">
        <f aca="false">IF(OR(AA397="",J397=""),"",AA397*J397)</f>
        <v/>
      </c>
      <c r="AC397" s="35"/>
      <c r="AD397" s="35"/>
      <c r="AE397" s="36"/>
      <c r="AF397" s="34" t="str">
        <f aca="true">IF(OR(D397="",R397="Cancelled"),"",IF(H397="","NO QTY",IF(AND(L397="Buy",E397=""),"NO PART NO",IF(AND(W397&lt;&gt;"",NOT(OR(R397="Received",R397="NSW Purchased")),W397&lt;TODAY()),"OVERDUE",IF(AND(W397&lt;&gt;"",Q397&lt;&gt;"",W397&gt;Q397),"LATE vs REQ",IF(AND(R397="Finalized – Not Purchased",T397=""),"NEED PR",IF(AND(Y397&lt;&gt;"",Y397&lt;J397),"SHORT","")))))))</f>
        <v/>
      </c>
      <c r="AG397" s="35"/>
    </row>
    <row r="398" customFormat="false" ht="15" hidden="false" customHeight="false" outlineLevel="0" collapsed="false">
      <c r="A398" s="34" t="str">
        <f aca="false">IF(B398="","",LEFT(B398,3)&amp;"-"&amp;TEXT(COUNTIF(B$11:B398,B398),"00"))</f>
        <v/>
      </c>
      <c r="B398" s="35"/>
      <c r="C398" s="35"/>
      <c r="D398" s="35"/>
      <c r="E398" s="35"/>
      <c r="F398" s="35"/>
      <c r="G398" s="35"/>
      <c r="H398" s="35"/>
      <c r="I398" s="35"/>
      <c r="J398" s="34" t="str">
        <f aca="false">IF(H398="","",H398*IF(I398="",1,I398))</f>
        <v/>
      </c>
      <c r="K398" s="35"/>
      <c r="L398" s="35"/>
      <c r="M398" s="35"/>
      <c r="N398" s="35"/>
      <c r="O398" s="35"/>
      <c r="P398" s="36"/>
      <c r="Q398" s="36"/>
      <c r="R398" s="35"/>
      <c r="S398" s="35"/>
      <c r="T398" s="35"/>
      <c r="U398" s="35"/>
      <c r="V398" s="36"/>
      <c r="W398" s="36"/>
      <c r="X398" s="35"/>
      <c r="Y398" s="35"/>
      <c r="Z398" s="36"/>
      <c r="AA398" s="37"/>
      <c r="AB398" s="38" t="str">
        <f aca="false">IF(OR(AA398="",J398=""),"",AA398*J398)</f>
        <v/>
      </c>
      <c r="AC398" s="35"/>
      <c r="AD398" s="35"/>
      <c r="AE398" s="36"/>
      <c r="AF398" s="34" t="str">
        <f aca="true">IF(OR(D398="",R398="Cancelled"),"",IF(H398="","NO QTY",IF(AND(L398="Buy",E398=""),"NO PART NO",IF(AND(W398&lt;&gt;"",NOT(OR(R398="Received",R398="NSW Purchased")),W398&lt;TODAY()),"OVERDUE",IF(AND(W398&lt;&gt;"",Q398&lt;&gt;"",W398&gt;Q398),"LATE vs REQ",IF(AND(R398="Finalized – Not Purchased",T398=""),"NEED PR",IF(AND(Y398&lt;&gt;"",Y398&lt;J398),"SHORT","")))))))</f>
        <v/>
      </c>
      <c r="AG398" s="35"/>
    </row>
    <row r="399" customFormat="false" ht="15" hidden="false" customHeight="false" outlineLevel="0" collapsed="false">
      <c r="A399" s="34" t="str">
        <f aca="false">IF(B399="","",LEFT(B399,3)&amp;"-"&amp;TEXT(COUNTIF(B$11:B399,B399),"00"))</f>
        <v/>
      </c>
      <c r="B399" s="35"/>
      <c r="C399" s="35"/>
      <c r="D399" s="35"/>
      <c r="E399" s="35"/>
      <c r="F399" s="35"/>
      <c r="G399" s="35"/>
      <c r="H399" s="35"/>
      <c r="I399" s="35"/>
      <c r="J399" s="34" t="str">
        <f aca="false">IF(H399="","",H399*IF(I399="",1,I399))</f>
        <v/>
      </c>
      <c r="K399" s="35"/>
      <c r="L399" s="35"/>
      <c r="M399" s="35"/>
      <c r="N399" s="35"/>
      <c r="O399" s="35"/>
      <c r="P399" s="36"/>
      <c r="Q399" s="36"/>
      <c r="R399" s="35"/>
      <c r="S399" s="35"/>
      <c r="T399" s="35"/>
      <c r="U399" s="35"/>
      <c r="V399" s="36"/>
      <c r="W399" s="36"/>
      <c r="X399" s="35"/>
      <c r="Y399" s="35"/>
      <c r="Z399" s="36"/>
      <c r="AA399" s="37"/>
      <c r="AB399" s="38" t="str">
        <f aca="false">IF(OR(AA399="",J399=""),"",AA399*J399)</f>
        <v/>
      </c>
      <c r="AC399" s="35"/>
      <c r="AD399" s="35"/>
      <c r="AE399" s="36"/>
      <c r="AF399" s="34" t="str">
        <f aca="true">IF(OR(D399="",R399="Cancelled"),"",IF(H399="","NO QTY",IF(AND(L399="Buy",E399=""),"NO PART NO",IF(AND(W399&lt;&gt;"",NOT(OR(R399="Received",R399="NSW Purchased")),W399&lt;TODAY()),"OVERDUE",IF(AND(W399&lt;&gt;"",Q399&lt;&gt;"",W399&gt;Q399),"LATE vs REQ",IF(AND(R399="Finalized – Not Purchased",T399=""),"NEED PR",IF(AND(Y399&lt;&gt;"",Y399&lt;J399),"SHORT","")))))))</f>
        <v/>
      </c>
      <c r="AG399" s="35"/>
    </row>
    <row r="400" customFormat="false" ht="15" hidden="false" customHeight="false" outlineLevel="0" collapsed="false">
      <c r="A400" s="34" t="str">
        <f aca="false">IF(B400="","",LEFT(B400,3)&amp;"-"&amp;TEXT(COUNTIF(B$11:B400,B400),"00"))</f>
        <v/>
      </c>
      <c r="B400" s="35"/>
      <c r="C400" s="35"/>
      <c r="D400" s="35"/>
      <c r="E400" s="35"/>
      <c r="F400" s="35"/>
      <c r="G400" s="35"/>
      <c r="H400" s="35"/>
      <c r="I400" s="35"/>
      <c r="J400" s="34" t="str">
        <f aca="false">IF(H400="","",H400*IF(I400="",1,I400))</f>
        <v/>
      </c>
      <c r="K400" s="35"/>
      <c r="L400" s="35"/>
      <c r="M400" s="35"/>
      <c r="N400" s="35"/>
      <c r="O400" s="35"/>
      <c r="P400" s="36"/>
      <c r="Q400" s="36"/>
      <c r="R400" s="35"/>
      <c r="S400" s="35"/>
      <c r="T400" s="35"/>
      <c r="U400" s="35"/>
      <c r="V400" s="36"/>
      <c r="W400" s="36"/>
      <c r="X400" s="35"/>
      <c r="Y400" s="35"/>
      <c r="Z400" s="36"/>
      <c r="AA400" s="37"/>
      <c r="AB400" s="38" t="str">
        <f aca="false">IF(OR(AA400="",J400=""),"",AA400*J400)</f>
        <v/>
      </c>
      <c r="AC400" s="35"/>
      <c r="AD400" s="35"/>
      <c r="AE400" s="36"/>
      <c r="AF400" s="34" t="str">
        <f aca="true">IF(OR(D400="",R400="Cancelled"),"",IF(H400="","NO QTY",IF(AND(L400="Buy",E400=""),"NO PART NO",IF(AND(W400&lt;&gt;"",NOT(OR(R400="Received",R400="NSW Purchased")),W400&lt;TODAY()),"OVERDUE",IF(AND(W400&lt;&gt;"",Q400&lt;&gt;"",W400&gt;Q400),"LATE vs REQ",IF(AND(R400="Finalized – Not Purchased",T400=""),"NEED PR",IF(AND(Y400&lt;&gt;"",Y400&lt;J400),"SHORT","")))))))</f>
        <v/>
      </c>
      <c r="AG400" s="35"/>
    </row>
    <row r="401" customFormat="false" ht="15" hidden="false" customHeight="false" outlineLevel="0" collapsed="false">
      <c r="A401" s="34" t="str">
        <f aca="false">IF(B401="","",LEFT(B401,3)&amp;"-"&amp;TEXT(COUNTIF(B$11:B401,B401),"00"))</f>
        <v/>
      </c>
      <c r="B401" s="35"/>
      <c r="C401" s="35"/>
      <c r="D401" s="35"/>
      <c r="E401" s="35"/>
      <c r="F401" s="35"/>
      <c r="G401" s="35"/>
      <c r="H401" s="35"/>
      <c r="I401" s="35"/>
      <c r="J401" s="34" t="str">
        <f aca="false">IF(H401="","",H401*IF(I401="",1,I401))</f>
        <v/>
      </c>
      <c r="K401" s="35"/>
      <c r="L401" s="35"/>
      <c r="M401" s="35"/>
      <c r="N401" s="35"/>
      <c r="O401" s="35"/>
      <c r="P401" s="36"/>
      <c r="Q401" s="36"/>
      <c r="R401" s="35"/>
      <c r="S401" s="35"/>
      <c r="T401" s="35"/>
      <c r="U401" s="35"/>
      <c r="V401" s="36"/>
      <c r="W401" s="36"/>
      <c r="X401" s="35"/>
      <c r="Y401" s="35"/>
      <c r="Z401" s="36"/>
      <c r="AA401" s="37"/>
      <c r="AB401" s="38" t="str">
        <f aca="false">IF(OR(AA401="",J401=""),"",AA401*J401)</f>
        <v/>
      </c>
      <c r="AC401" s="35"/>
      <c r="AD401" s="35"/>
      <c r="AE401" s="36"/>
      <c r="AF401" s="34" t="str">
        <f aca="true">IF(OR(D401="",R401="Cancelled"),"",IF(H401="","NO QTY",IF(AND(L401="Buy",E401=""),"NO PART NO",IF(AND(W401&lt;&gt;"",NOT(OR(R401="Received",R401="NSW Purchased")),W401&lt;TODAY()),"OVERDUE",IF(AND(W401&lt;&gt;"",Q401&lt;&gt;"",W401&gt;Q401),"LATE vs REQ",IF(AND(R401="Finalized – Not Purchased",T401=""),"NEED PR",IF(AND(Y401&lt;&gt;"",Y401&lt;J401),"SHORT","")))))))</f>
        <v/>
      </c>
      <c r="AG401" s="35"/>
    </row>
    <row r="402" customFormat="false" ht="15" hidden="false" customHeight="false" outlineLevel="0" collapsed="false">
      <c r="A402" s="34" t="str">
        <f aca="false">IF(B402="","",LEFT(B402,3)&amp;"-"&amp;TEXT(COUNTIF(B$11:B402,B402),"00"))</f>
        <v/>
      </c>
      <c r="B402" s="35"/>
      <c r="C402" s="35"/>
      <c r="D402" s="35"/>
      <c r="E402" s="35"/>
      <c r="F402" s="35"/>
      <c r="G402" s="35"/>
      <c r="H402" s="35"/>
      <c r="I402" s="35"/>
      <c r="J402" s="34" t="str">
        <f aca="false">IF(H402="","",H402*IF(I402="",1,I402))</f>
        <v/>
      </c>
      <c r="K402" s="35"/>
      <c r="L402" s="35"/>
      <c r="M402" s="35"/>
      <c r="N402" s="35"/>
      <c r="O402" s="35"/>
      <c r="P402" s="36"/>
      <c r="Q402" s="36"/>
      <c r="R402" s="35"/>
      <c r="S402" s="35"/>
      <c r="T402" s="35"/>
      <c r="U402" s="35"/>
      <c r="V402" s="36"/>
      <c r="W402" s="36"/>
      <c r="X402" s="35"/>
      <c r="Y402" s="35"/>
      <c r="Z402" s="36"/>
      <c r="AA402" s="37"/>
      <c r="AB402" s="38" t="str">
        <f aca="false">IF(OR(AA402="",J402=""),"",AA402*J402)</f>
        <v/>
      </c>
      <c r="AC402" s="35"/>
      <c r="AD402" s="35"/>
      <c r="AE402" s="36"/>
      <c r="AF402" s="34" t="str">
        <f aca="true">IF(OR(D402="",R402="Cancelled"),"",IF(H402="","NO QTY",IF(AND(L402="Buy",E402=""),"NO PART NO",IF(AND(W402&lt;&gt;"",NOT(OR(R402="Received",R402="NSW Purchased")),W402&lt;TODAY()),"OVERDUE",IF(AND(W402&lt;&gt;"",Q402&lt;&gt;"",W402&gt;Q402),"LATE vs REQ",IF(AND(R402="Finalized – Not Purchased",T402=""),"NEED PR",IF(AND(Y402&lt;&gt;"",Y402&lt;J402),"SHORT","")))))))</f>
        <v/>
      </c>
      <c r="AG402" s="35"/>
    </row>
    <row r="403" customFormat="false" ht="15" hidden="false" customHeight="false" outlineLevel="0" collapsed="false">
      <c r="A403" s="34" t="str">
        <f aca="false">IF(B403="","",LEFT(B403,3)&amp;"-"&amp;TEXT(COUNTIF(B$11:B403,B403),"00"))</f>
        <v/>
      </c>
      <c r="B403" s="35"/>
      <c r="C403" s="35"/>
      <c r="D403" s="35"/>
      <c r="E403" s="35"/>
      <c r="F403" s="35"/>
      <c r="G403" s="35"/>
      <c r="H403" s="35"/>
      <c r="I403" s="35"/>
      <c r="J403" s="34" t="str">
        <f aca="false">IF(H403="","",H403*IF(I403="",1,I403))</f>
        <v/>
      </c>
      <c r="K403" s="35"/>
      <c r="L403" s="35"/>
      <c r="M403" s="35"/>
      <c r="N403" s="35"/>
      <c r="O403" s="35"/>
      <c r="P403" s="36"/>
      <c r="Q403" s="36"/>
      <c r="R403" s="35"/>
      <c r="S403" s="35"/>
      <c r="T403" s="35"/>
      <c r="U403" s="35"/>
      <c r="V403" s="36"/>
      <c r="W403" s="36"/>
      <c r="X403" s="35"/>
      <c r="Y403" s="35"/>
      <c r="Z403" s="36"/>
      <c r="AA403" s="37"/>
      <c r="AB403" s="38" t="str">
        <f aca="false">IF(OR(AA403="",J403=""),"",AA403*J403)</f>
        <v/>
      </c>
      <c r="AC403" s="35"/>
      <c r="AD403" s="35"/>
      <c r="AE403" s="36"/>
      <c r="AF403" s="34" t="str">
        <f aca="true">IF(OR(D403="",R403="Cancelled"),"",IF(H403="","NO QTY",IF(AND(L403="Buy",E403=""),"NO PART NO",IF(AND(W403&lt;&gt;"",NOT(OR(R403="Received",R403="NSW Purchased")),W403&lt;TODAY()),"OVERDUE",IF(AND(W403&lt;&gt;"",Q403&lt;&gt;"",W403&gt;Q403),"LATE vs REQ",IF(AND(R403="Finalized – Not Purchased",T403=""),"NEED PR",IF(AND(Y403&lt;&gt;"",Y403&lt;J403),"SHORT","")))))))</f>
        <v/>
      </c>
      <c r="AG403" s="35"/>
    </row>
    <row r="404" customFormat="false" ht="15" hidden="false" customHeight="false" outlineLevel="0" collapsed="false">
      <c r="A404" s="34" t="str">
        <f aca="false">IF(B404="","",LEFT(B404,3)&amp;"-"&amp;TEXT(COUNTIF(B$11:B404,B404),"00"))</f>
        <v/>
      </c>
      <c r="B404" s="35"/>
      <c r="C404" s="35"/>
      <c r="D404" s="35"/>
      <c r="E404" s="35"/>
      <c r="F404" s="35"/>
      <c r="G404" s="35"/>
      <c r="H404" s="35"/>
      <c r="I404" s="35"/>
      <c r="J404" s="34" t="str">
        <f aca="false">IF(H404="","",H404*IF(I404="",1,I404))</f>
        <v/>
      </c>
      <c r="K404" s="35"/>
      <c r="L404" s="35"/>
      <c r="M404" s="35"/>
      <c r="N404" s="35"/>
      <c r="O404" s="35"/>
      <c r="P404" s="36"/>
      <c r="Q404" s="36"/>
      <c r="R404" s="35"/>
      <c r="S404" s="35"/>
      <c r="T404" s="35"/>
      <c r="U404" s="35"/>
      <c r="V404" s="36"/>
      <c r="W404" s="36"/>
      <c r="X404" s="35"/>
      <c r="Y404" s="35"/>
      <c r="Z404" s="36"/>
      <c r="AA404" s="37"/>
      <c r="AB404" s="38" t="str">
        <f aca="false">IF(OR(AA404="",J404=""),"",AA404*J404)</f>
        <v/>
      </c>
      <c r="AC404" s="35"/>
      <c r="AD404" s="35"/>
      <c r="AE404" s="36"/>
      <c r="AF404" s="34" t="str">
        <f aca="true">IF(OR(D404="",R404="Cancelled"),"",IF(H404="","NO QTY",IF(AND(L404="Buy",E404=""),"NO PART NO",IF(AND(W404&lt;&gt;"",NOT(OR(R404="Received",R404="NSW Purchased")),W404&lt;TODAY()),"OVERDUE",IF(AND(W404&lt;&gt;"",Q404&lt;&gt;"",W404&gt;Q404),"LATE vs REQ",IF(AND(R404="Finalized – Not Purchased",T404=""),"NEED PR",IF(AND(Y404&lt;&gt;"",Y404&lt;J404),"SHORT","")))))))</f>
        <v/>
      </c>
      <c r="AG404" s="35"/>
    </row>
    <row r="405" customFormat="false" ht="15" hidden="false" customHeight="false" outlineLevel="0" collapsed="false">
      <c r="A405" s="34" t="str">
        <f aca="false">IF(B405="","",LEFT(B405,3)&amp;"-"&amp;TEXT(COUNTIF(B$11:B405,B405),"00"))</f>
        <v/>
      </c>
      <c r="B405" s="35"/>
      <c r="C405" s="35"/>
      <c r="D405" s="35"/>
      <c r="E405" s="35"/>
      <c r="F405" s="35"/>
      <c r="G405" s="35"/>
      <c r="H405" s="35"/>
      <c r="I405" s="35"/>
      <c r="J405" s="34" t="str">
        <f aca="false">IF(H405="","",H405*IF(I405="",1,I405))</f>
        <v/>
      </c>
      <c r="K405" s="35"/>
      <c r="L405" s="35"/>
      <c r="M405" s="35"/>
      <c r="N405" s="35"/>
      <c r="O405" s="35"/>
      <c r="P405" s="36"/>
      <c r="Q405" s="36"/>
      <c r="R405" s="35"/>
      <c r="S405" s="35"/>
      <c r="T405" s="35"/>
      <c r="U405" s="35"/>
      <c r="V405" s="36"/>
      <c r="W405" s="36"/>
      <c r="X405" s="35"/>
      <c r="Y405" s="35"/>
      <c r="Z405" s="36"/>
      <c r="AA405" s="37"/>
      <c r="AB405" s="38" t="str">
        <f aca="false">IF(OR(AA405="",J405=""),"",AA405*J405)</f>
        <v/>
      </c>
      <c r="AC405" s="35"/>
      <c r="AD405" s="35"/>
      <c r="AE405" s="36"/>
      <c r="AF405" s="34" t="str">
        <f aca="true">IF(OR(D405="",R405="Cancelled"),"",IF(H405="","NO QTY",IF(AND(L405="Buy",E405=""),"NO PART NO",IF(AND(W405&lt;&gt;"",NOT(OR(R405="Received",R405="NSW Purchased")),W405&lt;TODAY()),"OVERDUE",IF(AND(W405&lt;&gt;"",Q405&lt;&gt;"",W405&gt;Q405),"LATE vs REQ",IF(AND(R405="Finalized – Not Purchased",T405=""),"NEED PR",IF(AND(Y405&lt;&gt;"",Y405&lt;J405),"SHORT","")))))))</f>
        <v/>
      </c>
      <c r="AG405" s="35"/>
    </row>
    <row r="406" customFormat="false" ht="15" hidden="false" customHeight="false" outlineLevel="0" collapsed="false">
      <c r="A406" s="34" t="str">
        <f aca="false">IF(B406="","",LEFT(B406,3)&amp;"-"&amp;TEXT(COUNTIF(B$11:B406,B406),"00"))</f>
        <v/>
      </c>
      <c r="B406" s="35"/>
      <c r="C406" s="35"/>
      <c r="D406" s="35"/>
      <c r="E406" s="35"/>
      <c r="F406" s="35"/>
      <c r="G406" s="35"/>
      <c r="H406" s="35"/>
      <c r="I406" s="35"/>
      <c r="J406" s="34" t="str">
        <f aca="false">IF(H406="","",H406*IF(I406="",1,I406))</f>
        <v/>
      </c>
      <c r="K406" s="35"/>
      <c r="L406" s="35"/>
      <c r="M406" s="35"/>
      <c r="N406" s="35"/>
      <c r="O406" s="35"/>
      <c r="P406" s="36"/>
      <c r="Q406" s="36"/>
      <c r="R406" s="35"/>
      <c r="S406" s="35"/>
      <c r="T406" s="35"/>
      <c r="U406" s="35"/>
      <c r="V406" s="36"/>
      <c r="W406" s="36"/>
      <c r="X406" s="35"/>
      <c r="Y406" s="35"/>
      <c r="Z406" s="36"/>
      <c r="AA406" s="37"/>
      <c r="AB406" s="38" t="str">
        <f aca="false">IF(OR(AA406="",J406=""),"",AA406*J406)</f>
        <v/>
      </c>
      <c r="AC406" s="35"/>
      <c r="AD406" s="35"/>
      <c r="AE406" s="36"/>
      <c r="AF406" s="34" t="str">
        <f aca="true">IF(OR(D406="",R406="Cancelled"),"",IF(H406="","NO QTY",IF(AND(L406="Buy",E406=""),"NO PART NO",IF(AND(W406&lt;&gt;"",NOT(OR(R406="Received",R406="NSW Purchased")),W406&lt;TODAY()),"OVERDUE",IF(AND(W406&lt;&gt;"",Q406&lt;&gt;"",W406&gt;Q406),"LATE vs REQ",IF(AND(R406="Finalized – Not Purchased",T406=""),"NEED PR",IF(AND(Y406&lt;&gt;"",Y406&lt;J406),"SHORT","")))))))</f>
        <v/>
      </c>
      <c r="AG406" s="35"/>
    </row>
    <row r="407" customFormat="false" ht="15" hidden="false" customHeight="false" outlineLevel="0" collapsed="false">
      <c r="A407" s="34" t="str">
        <f aca="false">IF(B407="","",LEFT(B407,3)&amp;"-"&amp;TEXT(COUNTIF(B$11:B407,B407),"00"))</f>
        <v/>
      </c>
      <c r="B407" s="35"/>
      <c r="C407" s="35"/>
      <c r="D407" s="35"/>
      <c r="E407" s="35"/>
      <c r="F407" s="35"/>
      <c r="G407" s="35"/>
      <c r="H407" s="35"/>
      <c r="I407" s="35"/>
      <c r="J407" s="34" t="str">
        <f aca="false">IF(H407="","",H407*IF(I407="",1,I407))</f>
        <v/>
      </c>
      <c r="K407" s="35"/>
      <c r="L407" s="35"/>
      <c r="M407" s="35"/>
      <c r="N407" s="35"/>
      <c r="O407" s="35"/>
      <c r="P407" s="36"/>
      <c r="Q407" s="36"/>
      <c r="R407" s="35"/>
      <c r="S407" s="35"/>
      <c r="T407" s="35"/>
      <c r="U407" s="35"/>
      <c r="V407" s="36"/>
      <c r="W407" s="36"/>
      <c r="X407" s="35"/>
      <c r="Y407" s="35"/>
      <c r="Z407" s="36"/>
      <c r="AA407" s="37"/>
      <c r="AB407" s="38" t="str">
        <f aca="false">IF(OR(AA407="",J407=""),"",AA407*J407)</f>
        <v/>
      </c>
      <c r="AC407" s="35"/>
      <c r="AD407" s="35"/>
      <c r="AE407" s="36"/>
      <c r="AF407" s="34" t="str">
        <f aca="true">IF(OR(D407="",R407="Cancelled"),"",IF(H407="","NO QTY",IF(AND(L407="Buy",E407=""),"NO PART NO",IF(AND(W407&lt;&gt;"",NOT(OR(R407="Received",R407="NSW Purchased")),W407&lt;TODAY()),"OVERDUE",IF(AND(W407&lt;&gt;"",Q407&lt;&gt;"",W407&gt;Q407),"LATE vs REQ",IF(AND(R407="Finalized – Not Purchased",T407=""),"NEED PR",IF(AND(Y407&lt;&gt;"",Y407&lt;J407),"SHORT","")))))))</f>
        <v/>
      </c>
      <c r="AG407" s="35"/>
    </row>
    <row r="408" customFormat="false" ht="15" hidden="false" customHeight="false" outlineLevel="0" collapsed="false">
      <c r="A408" s="34" t="str">
        <f aca="false">IF(B408="","",LEFT(B408,3)&amp;"-"&amp;TEXT(COUNTIF(B$11:B408,B408),"00"))</f>
        <v/>
      </c>
      <c r="B408" s="35"/>
      <c r="C408" s="35"/>
      <c r="D408" s="35"/>
      <c r="E408" s="35"/>
      <c r="F408" s="35"/>
      <c r="G408" s="35"/>
      <c r="H408" s="35"/>
      <c r="I408" s="35"/>
      <c r="J408" s="34" t="str">
        <f aca="false">IF(H408="","",H408*IF(I408="",1,I408))</f>
        <v/>
      </c>
      <c r="K408" s="35"/>
      <c r="L408" s="35"/>
      <c r="M408" s="35"/>
      <c r="N408" s="35"/>
      <c r="O408" s="35"/>
      <c r="P408" s="36"/>
      <c r="Q408" s="36"/>
      <c r="R408" s="35"/>
      <c r="S408" s="35"/>
      <c r="T408" s="35"/>
      <c r="U408" s="35"/>
      <c r="V408" s="36"/>
      <c r="W408" s="36"/>
      <c r="X408" s="35"/>
      <c r="Y408" s="35"/>
      <c r="Z408" s="36"/>
      <c r="AA408" s="37"/>
      <c r="AB408" s="38" t="str">
        <f aca="false">IF(OR(AA408="",J408=""),"",AA408*J408)</f>
        <v/>
      </c>
      <c r="AC408" s="35"/>
      <c r="AD408" s="35"/>
      <c r="AE408" s="36"/>
      <c r="AF408" s="34" t="str">
        <f aca="true">IF(OR(D408="",R408="Cancelled"),"",IF(H408="","NO QTY",IF(AND(L408="Buy",E408=""),"NO PART NO",IF(AND(W408&lt;&gt;"",NOT(OR(R408="Received",R408="NSW Purchased")),W408&lt;TODAY()),"OVERDUE",IF(AND(W408&lt;&gt;"",Q408&lt;&gt;"",W408&gt;Q408),"LATE vs REQ",IF(AND(R408="Finalized – Not Purchased",T408=""),"NEED PR",IF(AND(Y408&lt;&gt;"",Y408&lt;J408),"SHORT","")))))))</f>
        <v/>
      </c>
      <c r="AG408" s="35"/>
    </row>
    <row r="409" customFormat="false" ht="15" hidden="false" customHeight="false" outlineLevel="0" collapsed="false">
      <c r="A409" s="34" t="str">
        <f aca="false">IF(B409="","",LEFT(B409,3)&amp;"-"&amp;TEXT(COUNTIF(B$11:B409,B409),"00"))</f>
        <v/>
      </c>
      <c r="B409" s="35"/>
      <c r="C409" s="35"/>
      <c r="D409" s="35"/>
      <c r="E409" s="35"/>
      <c r="F409" s="35"/>
      <c r="G409" s="35"/>
      <c r="H409" s="35"/>
      <c r="I409" s="35"/>
      <c r="J409" s="34" t="str">
        <f aca="false">IF(H409="","",H409*IF(I409="",1,I409))</f>
        <v/>
      </c>
      <c r="K409" s="35"/>
      <c r="L409" s="35"/>
      <c r="M409" s="35"/>
      <c r="N409" s="35"/>
      <c r="O409" s="35"/>
      <c r="P409" s="36"/>
      <c r="Q409" s="36"/>
      <c r="R409" s="35"/>
      <c r="S409" s="35"/>
      <c r="T409" s="35"/>
      <c r="U409" s="35"/>
      <c r="V409" s="36"/>
      <c r="W409" s="36"/>
      <c r="X409" s="35"/>
      <c r="Y409" s="35"/>
      <c r="Z409" s="36"/>
      <c r="AA409" s="37"/>
      <c r="AB409" s="38" t="str">
        <f aca="false">IF(OR(AA409="",J409=""),"",AA409*J409)</f>
        <v/>
      </c>
      <c r="AC409" s="35"/>
      <c r="AD409" s="35"/>
      <c r="AE409" s="36"/>
      <c r="AF409" s="34" t="str">
        <f aca="true">IF(OR(D409="",R409="Cancelled"),"",IF(H409="","NO QTY",IF(AND(L409="Buy",E409=""),"NO PART NO",IF(AND(W409&lt;&gt;"",NOT(OR(R409="Received",R409="NSW Purchased")),W409&lt;TODAY()),"OVERDUE",IF(AND(W409&lt;&gt;"",Q409&lt;&gt;"",W409&gt;Q409),"LATE vs REQ",IF(AND(R409="Finalized – Not Purchased",T409=""),"NEED PR",IF(AND(Y409&lt;&gt;"",Y409&lt;J409),"SHORT","")))))))</f>
        <v/>
      </c>
      <c r="AG409" s="35"/>
    </row>
    <row r="410" customFormat="false" ht="15" hidden="false" customHeight="false" outlineLevel="0" collapsed="false">
      <c r="A410" s="34" t="str">
        <f aca="false">IF(B410="","",LEFT(B410,3)&amp;"-"&amp;TEXT(COUNTIF(B$11:B410,B410),"00"))</f>
        <v/>
      </c>
      <c r="B410" s="35"/>
      <c r="C410" s="35"/>
      <c r="D410" s="35"/>
      <c r="E410" s="35"/>
      <c r="F410" s="35"/>
      <c r="G410" s="35"/>
      <c r="H410" s="35"/>
      <c r="I410" s="35"/>
      <c r="J410" s="34" t="str">
        <f aca="false">IF(H410="","",H410*IF(I410="",1,I410))</f>
        <v/>
      </c>
      <c r="K410" s="35"/>
      <c r="L410" s="35"/>
      <c r="M410" s="35"/>
      <c r="N410" s="35"/>
      <c r="O410" s="35"/>
      <c r="P410" s="36"/>
      <c r="Q410" s="36"/>
      <c r="R410" s="35"/>
      <c r="S410" s="35"/>
      <c r="T410" s="35"/>
      <c r="U410" s="35"/>
      <c r="V410" s="36"/>
      <c r="W410" s="36"/>
      <c r="X410" s="35"/>
      <c r="Y410" s="35"/>
      <c r="Z410" s="36"/>
      <c r="AA410" s="37"/>
      <c r="AB410" s="38" t="str">
        <f aca="false">IF(OR(AA410="",J410=""),"",AA410*J410)</f>
        <v/>
      </c>
      <c r="AC410" s="35"/>
      <c r="AD410" s="35"/>
      <c r="AE410" s="36"/>
      <c r="AF410" s="34" t="str">
        <f aca="true">IF(OR(D410="",R410="Cancelled"),"",IF(H410="","NO QTY",IF(AND(L410="Buy",E410=""),"NO PART NO",IF(AND(W410&lt;&gt;"",NOT(OR(R410="Received",R410="NSW Purchased")),W410&lt;TODAY()),"OVERDUE",IF(AND(W410&lt;&gt;"",Q410&lt;&gt;"",W410&gt;Q410),"LATE vs REQ",IF(AND(R410="Finalized – Not Purchased",T410=""),"NEED PR",IF(AND(Y410&lt;&gt;"",Y410&lt;J410),"SHORT","")))))))</f>
        <v/>
      </c>
      <c r="AG410" s="35"/>
    </row>
  </sheetData>
  <autoFilter ref="A10:AG410"/>
  <mergeCells count="4">
    <mergeCell ref="B9:I9"/>
    <mergeCell ref="K9:Q9"/>
    <mergeCell ref="R9:AA9"/>
    <mergeCell ref="AC9:AE9"/>
  </mergeCells>
  <conditionalFormatting sqref="A11:D410">
    <cfRule type="expression" priority="2" aboveAverage="0" equalAverage="0" bottom="0" percent="0" rank="0" text="" dxfId="8">
      <formula>$R11="Not Finalized"</formula>
    </cfRule>
    <cfRule type="expression" priority="3" aboveAverage="0" equalAverage="0" bottom="0" percent="0" rank="0" text="" dxfId="9">
      <formula>$R11="Purchased – Not Received"</formula>
    </cfRule>
    <cfRule type="expression" priority="4" aboveAverage="0" equalAverage="0" bottom="0" percent="0" rank="0" text="" dxfId="10">
      <formula>$R11="Received"</formula>
    </cfRule>
    <cfRule type="expression" priority="5" aboveAverage="0" equalAverage="0" bottom="0" percent="0" rank="0" text="" dxfId="11">
      <formula>$R11="NSW Purchased"</formula>
    </cfRule>
    <cfRule type="expression" priority="6" aboveAverage="0" equalAverage="0" bottom="0" percent="0" rank="0" text="" dxfId="12">
      <formula>$R11="New Request to NSW"</formula>
    </cfRule>
    <cfRule type="expression" priority="7" aboveAverage="0" equalAverage="0" bottom="0" percent="0" rank="0" text="" dxfId="13">
      <formula>$R11="Cancelled"</formula>
    </cfRule>
  </conditionalFormatting>
  <conditionalFormatting sqref="R11:R410">
    <cfRule type="cellIs" priority="8" operator="equal" aboveAverage="0" equalAverage="0" bottom="0" percent="0" rank="0" text="" dxfId="8">
      <formula>"Not Finalized"</formula>
    </cfRule>
    <cfRule type="cellIs" priority="9" operator="equal" aboveAverage="0" equalAverage="0" bottom="0" percent="0" rank="0" text="" dxfId="9">
      <formula>"Purchased – Not Received"</formula>
    </cfRule>
    <cfRule type="cellIs" priority="10" operator="equal" aboveAverage="0" equalAverage="0" bottom="0" percent="0" rank="0" text="" dxfId="10">
      <formula>"Received"</formula>
    </cfRule>
    <cfRule type="cellIs" priority="11" operator="equal" aboveAverage="0" equalAverage="0" bottom="0" percent="0" rank="0" text="" dxfId="11">
      <formula>"NSW Purchased"</formula>
    </cfRule>
    <cfRule type="cellIs" priority="12" operator="equal" aboveAverage="0" equalAverage="0" bottom="0" percent="0" rank="0" text="" dxfId="12">
      <formula>"New Request to NSW"</formula>
    </cfRule>
    <cfRule type="cellIs" priority="13" operator="equal" aboveAverage="0" equalAverage="0" bottom="0" percent="0" rank="0" text="" dxfId="13">
      <formula>"Cancelled"</formula>
    </cfRule>
  </conditionalFormatting>
  <conditionalFormatting sqref="AF11:AF410">
    <cfRule type="cellIs" priority="14" operator="equal" aboveAverage="0" equalAverage="0" bottom="0" percent="0" rank="0" text="" dxfId="14">
      <formula>"OVERDUE"</formula>
    </cfRule>
    <cfRule type="cellIs" priority="15" operator="equal" aboveAverage="0" equalAverage="0" bottom="0" percent="0" rank="0" text="" dxfId="14">
      <formula>"LATE vs REQ"</formula>
    </cfRule>
    <cfRule type="cellIs" priority="16" operator="equal" aboveAverage="0" equalAverage="0" bottom="0" percent="0" rank="0" text="" dxfId="15">
      <formula>"NEED PR"</formula>
    </cfRule>
    <cfRule type="cellIs" priority="17" operator="equal" aboveAverage="0" equalAverage="0" bottom="0" percent="0" rank="0" text="" dxfId="15">
      <formula>"NO PART NO"</formula>
    </cfRule>
    <cfRule type="cellIs" priority="18" operator="equal" aboveAverage="0" equalAverage="0" bottom="0" percent="0" rank="0" text="" dxfId="15">
      <formula>"NO QTY"</formula>
    </cfRule>
    <cfRule type="cellIs" priority="19" operator="equal" aboveAverage="0" equalAverage="0" bottom="0" percent="0" rank="0" text="" dxfId="16">
      <formula>"SHORT"</formula>
    </cfRule>
  </conditionalFormatting>
  <dataValidations count="7">
    <dataValidation allowBlank="true" error="Use the dropdown. Add new options in the Lists sheet." errorStyle="stop" errorTitle="Pick from list" operator="between" showDropDown="false" showErrorMessage="true" showInputMessage="false" sqref="B11:B410" type="list">
      <formula1>Lists!$A$5:$A$19</formula1>
      <formula2>0</formula2>
    </dataValidation>
    <dataValidation allowBlank="true" error="Use the dropdown. Add new options in the Lists sheet." errorStyle="stop" errorTitle="Pick from list" operator="between" showDropDown="false" showErrorMessage="true" showInputMessage="false" sqref="C11:C410" type="list">
      <formula1>Lists!$B$5:$B$9</formula1>
      <formula2>0</formula2>
    </dataValidation>
    <dataValidation allowBlank="true" error="Use the dropdown. Add new options in the Lists sheet." errorStyle="stop" errorTitle="Pick from list" operator="between" showDropDown="false" showErrorMessage="true" showInputMessage="false" sqref="G11:G410" type="list">
      <formula1>Lists!$C$5:$C$14</formula1>
      <formula2>0</formula2>
    </dataValidation>
    <dataValidation allowBlank="true" error="Use the dropdown. Add new options in the Lists sheet." errorStyle="stop" errorTitle="Pick from list" operator="between" showDropDown="false" showErrorMessage="true" showInputMessage="false" sqref="R11:R410" type="list">
      <formula1>Lists!$D$5:$D$11</formula1>
      <formula2>0</formula2>
    </dataValidation>
    <dataValidation allowBlank="true" error="Use the dropdown. Add new options in the Lists sheet." errorStyle="stop" errorTitle="Pick from list" operator="between" showDropDown="false" showErrorMessage="true" showInputMessage="false" sqref="L11:L410" type="list">
      <formula1>Lists!$E$5:$E$7</formula1>
      <formula2>0</formula2>
    </dataValidation>
    <dataValidation allowBlank="true" error="Use the dropdown. Add new options in the Lists sheet." errorStyle="stop" errorTitle="Pick from list" operator="between" showDropDown="false" showErrorMessage="true" showInputMessage="false" sqref="K11:K410" type="list">
      <formula1>Lists!$F$5:$F$9</formula1>
      <formula2>0</formula2>
    </dataValidation>
    <dataValidation allowBlank="true" errorStyle="stop" operator="greaterThanOrEqual" showDropDown="false" showErrorMessage="false" showInputMessage="false" sqref="H11:I410 Y11:Y410 AA11:AA410 AC11:AC41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0"/>
  </cols>
  <sheetData>
    <row r="1" customFormat="false" ht="17.35" hidden="false" customHeight="false" outlineLevel="0" collapsed="false">
      <c r="A1" s="1" t="s">
        <v>119</v>
      </c>
    </row>
    <row r="2" customFormat="false" ht="15" hidden="false" customHeight="false" outlineLevel="0" collapsed="false">
      <c r="A2" s="2" t="s">
        <v>120</v>
      </c>
    </row>
    <row r="4" customFormat="false" ht="15" hidden="false" customHeight="false" outlineLevel="0" collapsed="false">
      <c r="A4" s="39" t="s">
        <v>121</v>
      </c>
    </row>
    <row r="5" customFormat="false" ht="15" hidden="false" customHeight="false" outlineLevel="0" collapsed="false">
      <c r="A5" s="40" t="s">
        <v>122</v>
      </c>
      <c r="C5" s="40" t="s">
        <v>123</v>
      </c>
      <c r="E5" s="40" t="s">
        <v>124</v>
      </c>
      <c r="G5" s="40" t="s">
        <v>17</v>
      </c>
      <c r="I5" s="40" t="s">
        <v>125</v>
      </c>
      <c r="K5" s="40" t="s">
        <v>126</v>
      </c>
    </row>
    <row r="6" customFormat="false" ht="22.05" hidden="false" customHeight="false" outlineLevel="0" collapsed="false">
      <c r="A6" s="41" t="n">
        <f aca="false">B26</f>
        <v>0</v>
      </c>
      <c r="C6" s="41" t="n">
        <f aca="false">C26</f>
        <v>0</v>
      </c>
      <c r="E6" s="41" t="n">
        <f aca="false">E26</f>
        <v>0</v>
      </c>
      <c r="G6" s="41" t="n">
        <f aca="false">G26</f>
        <v>0</v>
      </c>
      <c r="I6" s="42" t="n">
        <f aca="false">I26</f>
        <v>0</v>
      </c>
      <c r="K6" s="42" t="n">
        <f aca="false">J26</f>
        <v>0</v>
      </c>
    </row>
    <row r="7" customFormat="false" ht="15" hidden="false" customHeight="false" outlineLevel="0" collapsed="false">
      <c r="C7" s="43" t="n">
        <f aca="false">D26</f>
        <v>0</v>
      </c>
      <c r="E7" s="43" t="n">
        <f aca="false">F26</f>
        <v>0</v>
      </c>
      <c r="G7" s="43" t="n">
        <f aca="false">H26</f>
        <v>0</v>
      </c>
    </row>
    <row r="9" customFormat="false" ht="15" hidden="false" customHeight="false" outlineLevel="0" collapsed="false">
      <c r="A9" s="39" t="s">
        <v>127</v>
      </c>
    </row>
    <row r="10" customFormat="false" ht="23.85" hidden="false" customHeight="false" outlineLevel="0" collapsed="false">
      <c r="A10" s="44" t="s">
        <v>128</v>
      </c>
      <c r="B10" s="44" t="s">
        <v>129</v>
      </c>
      <c r="C10" s="44" t="s">
        <v>123</v>
      </c>
      <c r="D10" s="44" t="s">
        <v>130</v>
      </c>
      <c r="E10" s="44" t="s">
        <v>124</v>
      </c>
      <c r="F10" s="44" t="s">
        <v>131</v>
      </c>
      <c r="G10" s="44" t="s">
        <v>17</v>
      </c>
      <c r="H10" s="44" t="s">
        <v>132</v>
      </c>
      <c r="I10" s="44" t="s">
        <v>125</v>
      </c>
      <c r="J10" s="44" t="s">
        <v>133</v>
      </c>
      <c r="K10" s="44" t="s">
        <v>134</v>
      </c>
    </row>
    <row r="11" customFormat="false" ht="15" hidden="false" customHeight="false" outlineLevel="0" collapsed="false">
      <c r="A11" s="35" t="str">
        <f aca="false">Lists!$A$5</f>
        <v>110 BASE &amp; STRUCTURE</v>
      </c>
      <c r="B11" s="35" t="n">
        <f aca="false">COUNTIFS(BOM!$B$11:$B$410,$A11,BOM!$D$11:$D$410,"&lt;&gt;",BOM!$R$11:$R$410,"&lt;&gt;Cancelled")</f>
        <v>0</v>
      </c>
      <c r="C11" s="35" t="n">
        <f aca="false">COUNTIFS(BOM!$B$11:$B$410,$A11,BOM!$D$11:$D$410,"&lt;&gt;",BOM!$R$11:$R$410,"&lt;&gt;Cancelled")-COUNTIFS(BOM!$B$11:$B$410,$A11,BOM!$D$11:$D$410,"&lt;&gt;",BOM!$R$11:$R$410,"Not Finalized")-COUNTIFS(BOM!$B$11:$B$410,$A11,BOM!$D$11:$D$410,"&lt;&gt;",BOM!$R$11:$R$410,"")</f>
        <v>0</v>
      </c>
      <c r="D11" s="45" t="n">
        <f aca="false">IF($B11=0,0,C11/$B11)</f>
        <v>0</v>
      </c>
      <c r="E11" s="35" t="n">
        <f aca="false">COUNTIFS(BOM!$B$11:$B$410,$A11,BOM!$D$11:$D$410,"&lt;&gt;",BOM!$R$11:$R$410,"Purchased – Not Received")+COUNTIFS(BOM!$B$11:$B$410,$A11,BOM!$D$11:$D$410,"&lt;&gt;",BOM!$R$11:$R$410,"Received")+COUNTIFS(BOM!$B$11:$B$410,$A11,BOM!$D$11:$D$410,"&lt;&gt;",BOM!$R$11:$R$410,"NSW Purchased")</f>
        <v>0</v>
      </c>
      <c r="F11" s="45" t="n">
        <f aca="false">IF($B11=0,0,E11/$B11)</f>
        <v>0</v>
      </c>
      <c r="G11" s="35" t="n">
        <f aca="false">COUNTIFS(BOM!$B$11:$B$410,$A11,BOM!$D$11:$D$410,"&lt;&gt;",BOM!$R$11:$R$410,"Received")+COUNTIFS(BOM!$B$11:$B$410,$A11,BOM!$D$11:$D$410,"&lt;&gt;",BOM!$R$11:$R$410,"NSW Purchased")</f>
        <v>0</v>
      </c>
      <c r="H11" s="45" t="n">
        <f aca="false">IF($B11=0,0,G11/$B11)</f>
        <v>0</v>
      </c>
      <c r="I11" s="46" t="n">
        <f aca="false">COUNTIFS(BOM!$B$11:$B$410,$A11,BOM!$AF$11:$AF$410,"OVERDUE")</f>
        <v>0</v>
      </c>
      <c r="J11" s="35" t="n">
        <f aca="false">COUNTIFS(BOM!$B$11:$B$410,$A11,BOM!$AF$11:$AF$410,"?*")</f>
        <v>0</v>
      </c>
      <c r="K11" s="47" t="n">
        <f aca="false">SUMIFS(BOM!$AB$11:$AB$410,BOM!$B$11:$B$410,$A11,BOM!$R$11:$R$410,"&lt;&gt;Cancelled")</f>
        <v>0</v>
      </c>
    </row>
    <row r="12" customFormat="false" ht="15" hidden="false" customHeight="false" outlineLevel="0" collapsed="false">
      <c r="A12" s="35" t="str">
        <f aca="false">Lists!$A$6</f>
        <v>120 (rename)</v>
      </c>
      <c r="B12" s="35" t="n">
        <f aca="false">COUNTIFS(BOM!$B$11:$B$410,$A12,BOM!$D$11:$D$410,"&lt;&gt;",BOM!$R$11:$R$410,"&lt;&gt;Cancelled")</f>
        <v>0</v>
      </c>
      <c r="C12" s="35" t="n">
        <f aca="false">COUNTIFS(BOM!$B$11:$B$410,$A12,BOM!$D$11:$D$410,"&lt;&gt;",BOM!$R$11:$R$410,"&lt;&gt;Cancelled")-COUNTIFS(BOM!$B$11:$B$410,$A12,BOM!$D$11:$D$410,"&lt;&gt;",BOM!$R$11:$R$410,"Not Finalized")-COUNTIFS(BOM!$B$11:$B$410,$A12,BOM!$D$11:$D$410,"&lt;&gt;",BOM!$R$11:$R$410,"")</f>
        <v>0</v>
      </c>
      <c r="D12" s="45" t="n">
        <f aca="false">IF($B12=0,0,C12/$B12)</f>
        <v>0</v>
      </c>
      <c r="E12" s="35" t="n">
        <f aca="false">COUNTIFS(BOM!$B$11:$B$410,$A12,BOM!$D$11:$D$410,"&lt;&gt;",BOM!$R$11:$R$410,"Purchased – Not Received")+COUNTIFS(BOM!$B$11:$B$410,$A12,BOM!$D$11:$D$410,"&lt;&gt;",BOM!$R$11:$R$410,"Received")+COUNTIFS(BOM!$B$11:$B$410,$A12,BOM!$D$11:$D$410,"&lt;&gt;",BOM!$R$11:$R$410,"NSW Purchased")</f>
        <v>0</v>
      </c>
      <c r="F12" s="45" t="n">
        <f aca="false">IF($B12=0,0,E12/$B12)</f>
        <v>0</v>
      </c>
      <c r="G12" s="35" t="n">
        <f aca="false">COUNTIFS(BOM!$B$11:$B$410,$A12,BOM!$D$11:$D$410,"&lt;&gt;",BOM!$R$11:$R$410,"Received")+COUNTIFS(BOM!$B$11:$B$410,$A12,BOM!$D$11:$D$410,"&lt;&gt;",BOM!$R$11:$R$410,"NSW Purchased")</f>
        <v>0</v>
      </c>
      <c r="H12" s="45" t="n">
        <f aca="false">IF($B12=0,0,G12/$B12)</f>
        <v>0</v>
      </c>
      <c r="I12" s="46" t="n">
        <f aca="false">COUNTIFS(BOM!$B$11:$B$410,$A12,BOM!$AF$11:$AF$410,"OVERDUE")</f>
        <v>0</v>
      </c>
      <c r="J12" s="35" t="n">
        <f aca="false">COUNTIFS(BOM!$B$11:$B$410,$A12,BOM!$AF$11:$AF$410,"?*")</f>
        <v>0</v>
      </c>
      <c r="K12" s="47" t="n">
        <f aca="false">SUMIFS(BOM!$AB$11:$AB$410,BOM!$B$11:$B$410,$A12,BOM!$R$11:$R$410,"&lt;&gt;Cancelled")</f>
        <v>0</v>
      </c>
    </row>
    <row r="13" customFormat="false" ht="15" hidden="false" customHeight="false" outlineLevel="0" collapsed="false">
      <c r="A13" s="35" t="str">
        <f aca="false">Lists!$A$7</f>
        <v>130 (rename)</v>
      </c>
      <c r="B13" s="35" t="n">
        <f aca="false">COUNTIFS(BOM!$B$11:$B$410,$A13,BOM!$D$11:$D$410,"&lt;&gt;",BOM!$R$11:$R$410,"&lt;&gt;Cancelled")</f>
        <v>0</v>
      </c>
      <c r="C13" s="35" t="n">
        <f aca="false">COUNTIFS(BOM!$B$11:$B$410,$A13,BOM!$D$11:$D$410,"&lt;&gt;",BOM!$R$11:$R$410,"&lt;&gt;Cancelled")-COUNTIFS(BOM!$B$11:$B$410,$A13,BOM!$D$11:$D$410,"&lt;&gt;",BOM!$R$11:$R$410,"Not Finalized")-COUNTIFS(BOM!$B$11:$B$410,$A13,BOM!$D$11:$D$410,"&lt;&gt;",BOM!$R$11:$R$410,"")</f>
        <v>0</v>
      </c>
      <c r="D13" s="45" t="n">
        <f aca="false">IF($B13=0,0,C13/$B13)</f>
        <v>0</v>
      </c>
      <c r="E13" s="35" t="n">
        <f aca="false">COUNTIFS(BOM!$B$11:$B$410,$A13,BOM!$D$11:$D$410,"&lt;&gt;",BOM!$R$11:$R$410,"Purchased – Not Received")+COUNTIFS(BOM!$B$11:$B$410,$A13,BOM!$D$11:$D$410,"&lt;&gt;",BOM!$R$11:$R$410,"Received")+COUNTIFS(BOM!$B$11:$B$410,$A13,BOM!$D$11:$D$410,"&lt;&gt;",BOM!$R$11:$R$410,"NSW Purchased")</f>
        <v>0</v>
      </c>
      <c r="F13" s="45" t="n">
        <f aca="false">IF($B13=0,0,E13/$B13)</f>
        <v>0</v>
      </c>
      <c r="G13" s="35" t="n">
        <f aca="false">COUNTIFS(BOM!$B$11:$B$410,$A13,BOM!$D$11:$D$410,"&lt;&gt;",BOM!$R$11:$R$410,"Received")+COUNTIFS(BOM!$B$11:$B$410,$A13,BOM!$D$11:$D$410,"&lt;&gt;",BOM!$R$11:$R$410,"NSW Purchased")</f>
        <v>0</v>
      </c>
      <c r="H13" s="45" t="n">
        <f aca="false">IF($B13=0,0,G13/$B13)</f>
        <v>0</v>
      </c>
      <c r="I13" s="46" t="n">
        <f aca="false">COUNTIFS(BOM!$B$11:$B$410,$A13,BOM!$AF$11:$AF$410,"OVERDUE")</f>
        <v>0</v>
      </c>
      <c r="J13" s="35" t="n">
        <f aca="false">COUNTIFS(BOM!$B$11:$B$410,$A13,BOM!$AF$11:$AF$410,"?*")</f>
        <v>0</v>
      </c>
      <c r="K13" s="47" t="n">
        <f aca="false">SUMIFS(BOM!$AB$11:$AB$410,BOM!$B$11:$B$410,$A13,BOM!$R$11:$R$410,"&lt;&gt;Cancelled")</f>
        <v>0</v>
      </c>
    </row>
    <row r="14" customFormat="false" ht="15" hidden="false" customHeight="false" outlineLevel="0" collapsed="false">
      <c r="A14" s="35" t="str">
        <f aca="false">Lists!$A$8</f>
        <v>140 (rename)</v>
      </c>
      <c r="B14" s="35" t="n">
        <f aca="false">COUNTIFS(BOM!$B$11:$B$410,$A14,BOM!$D$11:$D$410,"&lt;&gt;",BOM!$R$11:$R$410,"&lt;&gt;Cancelled")</f>
        <v>0</v>
      </c>
      <c r="C14" s="35" t="n">
        <f aca="false">COUNTIFS(BOM!$B$11:$B$410,$A14,BOM!$D$11:$D$410,"&lt;&gt;",BOM!$R$11:$R$410,"&lt;&gt;Cancelled")-COUNTIFS(BOM!$B$11:$B$410,$A14,BOM!$D$11:$D$410,"&lt;&gt;",BOM!$R$11:$R$410,"Not Finalized")-COUNTIFS(BOM!$B$11:$B$410,$A14,BOM!$D$11:$D$410,"&lt;&gt;",BOM!$R$11:$R$410,"")</f>
        <v>0</v>
      </c>
      <c r="D14" s="45" t="n">
        <f aca="false">IF($B14=0,0,C14/$B14)</f>
        <v>0</v>
      </c>
      <c r="E14" s="35" t="n">
        <f aca="false">COUNTIFS(BOM!$B$11:$B$410,$A14,BOM!$D$11:$D$410,"&lt;&gt;",BOM!$R$11:$R$410,"Purchased – Not Received")+COUNTIFS(BOM!$B$11:$B$410,$A14,BOM!$D$11:$D$410,"&lt;&gt;",BOM!$R$11:$R$410,"Received")+COUNTIFS(BOM!$B$11:$B$410,$A14,BOM!$D$11:$D$410,"&lt;&gt;",BOM!$R$11:$R$410,"NSW Purchased")</f>
        <v>0</v>
      </c>
      <c r="F14" s="45" t="n">
        <f aca="false">IF($B14=0,0,E14/$B14)</f>
        <v>0</v>
      </c>
      <c r="G14" s="35" t="n">
        <f aca="false">COUNTIFS(BOM!$B$11:$B$410,$A14,BOM!$D$11:$D$410,"&lt;&gt;",BOM!$R$11:$R$410,"Received")+COUNTIFS(BOM!$B$11:$B$410,$A14,BOM!$D$11:$D$410,"&lt;&gt;",BOM!$R$11:$R$410,"NSW Purchased")</f>
        <v>0</v>
      </c>
      <c r="H14" s="45" t="n">
        <f aca="false">IF($B14=0,0,G14/$B14)</f>
        <v>0</v>
      </c>
      <c r="I14" s="46" t="n">
        <f aca="false">COUNTIFS(BOM!$B$11:$B$410,$A14,BOM!$AF$11:$AF$410,"OVERDUE")</f>
        <v>0</v>
      </c>
      <c r="J14" s="35" t="n">
        <f aca="false">COUNTIFS(BOM!$B$11:$B$410,$A14,BOM!$AF$11:$AF$410,"?*")</f>
        <v>0</v>
      </c>
      <c r="K14" s="47" t="n">
        <f aca="false">SUMIFS(BOM!$AB$11:$AB$410,BOM!$B$11:$B$410,$A14,BOM!$R$11:$R$410,"&lt;&gt;Cancelled")</f>
        <v>0</v>
      </c>
    </row>
    <row r="15" customFormat="false" ht="15" hidden="false" customHeight="false" outlineLevel="0" collapsed="false">
      <c r="A15" s="35" t="str">
        <f aca="false">Lists!$A$9</f>
        <v>150 (rename)</v>
      </c>
      <c r="B15" s="35" t="n">
        <f aca="false">COUNTIFS(BOM!$B$11:$B$410,$A15,BOM!$D$11:$D$410,"&lt;&gt;",BOM!$R$11:$R$410,"&lt;&gt;Cancelled")</f>
        <v>0</v>
      </c>
      <c r="C15" s="35" t="n">
        <f aca="false">COUNTIFS(BOM!$B$11:$B$410,$A15,BOM!$D$11:$D$410,"&lt;&gt;",BOM!$R$11:$R$410,"&lt;&gt;Cancelled")-COUNTIFS(BOM!$B$11:$B$410,$A15,BOM!$D$11:$D$410,"&lt;&gt;",BOM!$R$11:$R$410,"Not Finalized")-COUNTIFS(BOM!$B$11:$B$410,$A15,BOM!$D$11:$D$410,"&lt;&gt;",BOM!$R$11:$R$410,"")</f>
        <v>0</v>
      </c>
      <c r="D15" s="45" t="n">
        <f aca="false">IF($B15=0,0,C15/$B15)</f>
        <v>0</v>
      </c>
      <c r="E15" s="35" t="n">
        <f aca="false">COUNTIFS(BOM!$B$11:$B$410,$A15,BOM!$D$11:$D$410,"&lt;&gt;",BOM!$R$11:$R$410,"Purchased – Not Received")+COUNTIFS(BOM!$B$11:$B$410,$A15,BOM!$D$11:$D$410,"&lt;&gt;",BOM!$R$11:$R$410,"Received")+COUNTIFS(BOM!$B$11:$B$410,$A15,BOM!$D$11:$D$410,"&lt;&gt;",BOM!$R$11:$R$410,"NSW Purchased")</f>
        <v>0</v>
      </c>
      <c r="F15" s="45" t="n">
        <f aca="false">IF($B15=0,0,E15/$B15)</f>
        <v>0</v>
      </c>
      <c r="G15" s="35" t="n">
        <f aca="false">COUNTIFS(BOM!$B$11:$B$410,$A15,BOM!$D$11:$D$410,"&lt;&gt;",BOM!$R$11:$R$410,"Received")+COUNTIFS(BOM!$B$11:$B$410,$A15,BOM!$D$11:$D$410,"&lt;&gt;",BOM!$R$11:$R$410,"NSW Purchased")</f>
        <v>0</v>
      </c>
      <c r="H15" s="45" t="n">
        <f aca="false">IF($B15=0,0,G15/$B15)</f>
        <v>0</v>
      </c>
      <c r="I15" s="46" t="n">
        <f aca="false">COUNTIFS(BOM!$B$11:$B$410,$A15,BOM!$AF$11:$AF$410,"OVERDUE")</f>
        <v>0</v>
      </c>
      <c r="J15" s="35" t="n">
        <f aca="false">COUNTIFS(BOM!$B$11:$B$410,$A15,BOM!$AF$11:$AF$410,"?*")</f>
        <v>0</v>
      </c>
      <c r="K15" s="47" t="n">
        <f aca="false">SUMIFS(BOM!$AB$11:$AB$410,BOM!$B$11:$B$410,$A15,BOM!$R$11:$R$410,"&lt;&gt;Cancelled")</f>
        <v>0</v>
      </c>
    </row>
    <row r="16" customFormat="false" ht="15" hidden="false" customHeight="false" outlineLevel="0" collapsed="false">
      <c r="A16" s="35" t="str">
        <f aca="false">Lists!$A$10</f>
        <v>160 (rename)</v>
      </c>
      <c r="B16" s="35" t="n">
        <f aca="false">COUNTIFS(BOM!$B$11:$B$410,$A16,BOM!$D$11:$D$410,"&lt;&gt;",BOM!$R$11:$R$410,"&lt;&gt;Cancelled")</f>
        <v>0</v>
      </c>
      <c r="C16" s="35" t="n">
        <f aca="false">COUNTIFS(BOM!$B$11:$B$410,$A16,BOM!$D$11:$D$410,"&lt;&gt;",BOM!$R$11:$R$410,"&lt;&gt;Cancelled")-COUNTIFS(BOM!$B$11:$B$410,$A16,BOM!$D$11:$D$410,"&lt;&gt;",BOM!$R$11:$R$410,"Not Finalized")-COUNTIFS(BOM!$B$11:$B$410,$A16,BOM!$D$11:$D$410,"&lt;&gt;",BOM!$R$11:$R$410,"")</f>
        <v>0</v>
      </c>
      <c r="D16" s="45" t="n">
        <f aca="false">IF($B16=0,0,C16/$B16)</f>
        <v>0</v>
      </c>
      <c r="E16" s="35" t="n">
        <f aca="false">COUNTIFS(BOM!$B$11:$B$410,$A16,BOM!$D$11:$D$410,"&lt;&gt;",BOM!$R$11:$R$410,"Purchased – Not Received")+COUNTIFS(BOM!$B$11:$B$410,$A16,BOM!$D$11:$D$410,"&lt;&gt;",BOM!$R$11:$R$410,"Received")+COUNTIFS(BOM!$B$11:$B$410,$A16,BOM!$D$11:$D$410,"&lt;&gt;",BOM!$R$11:$R$410,"NSW Purchased")</f>
        <v>0</v>
      </c>
      <c r="F16" s="45" t="n">
        <f aca="false">IF($B16=0,0,E16/$B16)</f>
        <v>0</v>
      </c>
      <c r="G16" s="35" t="n">
        <f aca="false">COUNTIFS(BOM!$B$11:$B$410,$A16,BOM!$D$11:$D$410,"&lt;&gt;",BOM!$R$11:$R$410,"Received")+COUNTIFS(BOM!$B$11:$B$410,$A16,BOM!$D$11:$D$410,"&lt;&gt;",BOM!$R$11:$R$410,"NSW Purchased")</f>
        <v>0</v>
      </c>
      <c r="H16" s="45" t="n">
        <f aca="false">IF($B16=0,0,G16/$B16)</f>
        <v>0</v>
      </c>
      <c r="I16" s="46" t="n">
        <f aca="false">COUNTIFS(BOM!$B$11:$B$410,$A16,BOM!$AF$11:$AF$410,"OVERDUE")</f>
        <v>0</v>
      </c>
      <c r="J16" s="35" t="n">
        <f aca="false">COUNTIFS(BOM!$B$11:$B$410,$A16,BOM!$AF$11:$AF$410,"?*")</f>
        <v>0</v>
      </c>
      <c r="K16" s="47" t="n">
        <f aca="false">SUMIFS(BOM!$AB$11:$AB$410,BOM!$B$11:$B$410,$A16,BOM!$R$11:$R$410,"&lt;&gt;Cancelled")</f>
        <v>0</v>
      </c>
    </row>
    <row r="17" customFormat="false" ht="15" hidden="false" customHeight="false" outlineLevel="0" collapsed="false">
      <c r="A17" s="35" t="str">
        <f aca="false">Lists!$A$11</f>
        <v>170 (rename)</v>
      </c>
      <c r="B17" s="35" t="n">
        <f aca="false">COUNTIFS(BOM!$B$11:$B$410,$A17,BOM!$D$11:$D$410,"&lt;&gt;",BOM!$R$11:$R$410,"&lt;&gt;Cancelled")</f>
        <v>0</v>
      </c>
      <c r="C17" s="35" t="n">
        <f aca="false">COUNTIFS(BOM!$B$11:$B$410,$A17,BOM!$D$11:$D$410,"&lt;&gt;",BOM!$R$11:$R$410,"&lt;&gt;Cancelled")-COUNTIFS(BOM!$B$11:$B$410,$A17,BOM!$D$11:$D$410,"&lt;&gt;",BOM!$R$11:$R$410,"Not Finalized")-COUNTIFS(BOM!$B$11:$B$410,$A17,BOM!$D$11:$D$410,"&lt;&gt;",BOM!$R$11:$R$410,"")</f>
        <v>0</v>
      </c>
      <c r="D17" s="45" t="n">
        <f aca="false">IF($B17=0,0,C17/$B17)</f>
        <v>0</v>
      </c>
      <c r="E17" s="35" t="n">
        <f aca="false">COUNTIFS(BOM!$B$11:$B$410,$A17,BOM!$D$11:$D$410,"&lt;&gt;",BOM!$R$11:$R$410,"Purchased – Not Received")+COUNTIFS(BOM!$B$11:$B$410,$A17,BOM!$D$11:$D$410,"&lt;&gt;",BOM!$R$11:$R$410,"Received")+COUNTIFS(BOM!$B$11:$B$410,$A17,BOM!$D$11:$D$410,"&lt;&gt;",BOM!$R$11:$R$410,"NSW Purchased")</f>
        <v>0</v>
      </c>
      <c r="F17" s="45" t="n">
        <f aca="false">IF($B17=0,0,E17/$B17)</f>
        <v>0</v>
      </c>
      <c r="G17" s="35" t="n">
        <f aca="false">COUNTIFS(BOM!$B$11:$B$410,$A17,BOM!$D$11:$D$410,"&lt;&gt;",BOM!$R$11:$R$410,"Received")+COUNTIFS(BOM!$B$11:$B$410,$A17,BOM!$D$11:$D$410,"&lt;&gt;",BOM!$R$11:$R$410,"NSW Purchased")</f>
        <v>0</v>
      </c>
      <c r="H17" s="45" t="n">
        <f aca="false">IF($B17=0,0,G17/$B17)</f>
        <v>0</v>
      </c>
      <c r="I17" s="46" t="n">
        <f aca="false">COUNTIFS(BOM!$B$11:$B$410,$A17,BOM!$AF$11:$AF$410,"OVERDUE")</f>
        <v>0</v>
      </c>
      <c r="J17" s="35" t="n">
        <f aca="false">COUNTIFS(BOM!$B$11:$B$410,$A17,BOM!$AF$11:$AF$410,"?*")</f>
        <v>0</v>
      </c>
      <c r="K17" s="47" t="n">
        <f aca="false">SUMIFS(BOM!$AB$11:$AB$410,BOM!$B$11:$B$410,$A17,BOM!$R$11:$R$410,"&lt;&gt;Cancelled")</f>
        <v>0</v>
      </c>
    </row>
    <row r="18" customFormat="false" ht="15" hidden="false" customHeight="false" outlineLevel="0" collapsed="false">
      <c r="A18" s="35" t="str">
        <f aca="false">Lists!$A$12</f>
        <v>180 (rename)</v>
      </c>
      <c r="B18" s="35" t="n">
        <f aca="false">COUNTIFS(BOM!$B$11:$B$410,$A18,BOM!$D$11:$D$410,"&lt;&gt;",BOM!$R$11:$R$410,"&lt;&gt;Cancelled")</f>
        <v>0</v>
      </c>
      <c r="C18" s="35" t="n">
        <f aca="false">COUNTIFS(BOM!$B$11:$B$410,$A18,BOM!$D$11:$D$410,"&lt;&gt;",BOM!$R$11:$R$410,"&lt;&gt;Cancelled")-COUNTIFS(BOM!$B$11:$B$410,$A18,BOM!$D$11:$D$410,"&lt;&gt;",BOM!$R$11:$R$410,"Not Finalized")-COUNTIFS(BOM!$B$11:$B$410,$A18,BOM!$D$11:$D$410,"&lt;&gt;",BOM!$R$11:$R$410,"")</f>
        <v>0</v>
      </c>
      <c r="D18" s="45" t="n">
        <f aca="false">IF($B18=0,0,C18/$B18)</f>
        <v>0</v>
      </c>
      <c r="E18" s="35" t="n">
        <f aca="false">COUNTIFS(BOM!$B$11:$B$410,$A18,BOM!$D$11:$D$410,"&lt;&gt;",BOM!$R$11:$R$410,"Purchased – Not Received")+COUNTIFS(BOM!$B$11:$B$410,$A18,BOM!$D$11:$D$410,"&lt;&gt;",BOM!$R$11:$R$410,"Received")+COUNTIFS(BOM!$B$11:$B$410,$A18,BOM!$D$11:$D$410,"&lt;&gt;",BOM!$R$11:$R$410,"NSW Purchased")</f>
        <v>0</v>
      </c>
      <c r="F18" s="45" t="n">
        <f aca="false">IF($B18=0,0,E18/$B18)</f>
        <v>0</v>
      </c>
      <c r="G18" s="35" t="n">
        <f aca="false">COUNTIFS(BOM!$B$11:$B$410,$A18,BOM!$D$11:$D$410,"&lt;&gt;",BOM!$R$11:$R$410,"Received")+COUNTIFS(BOM!$B$11:$B$410,$A18,BOM!$D$11:$D$410,"&lt;&gt;",BOM!$R$11:$R$410,"NSW Purchased")</f>
        <v>0</v>
      </c>
      <c r="H18" s="45" t="n">
        <f aca="false">IF($B18=0,0,G18/$B18)</f>
        <v>0</v>
      </c>
      <c r="I18" s="46" t="n">
        <f aca="false">COUNTIFS(BOM!$B$11:$B$410,$A18,BOM!$AF$11:$AF$410,"OVERDUE")</f>
        <v>0</v>
      </c>
      <c r="J18" s="35" t="n">
        <f aca="false">COUNTIFS(BOM!$B$11:$B$410,$A18,BOM!$AF$11:$AF$410,"?*")</f>
        <v>0</v>
      </c>
      <c r="K18" s="47" t="n">
        <f aca="false">SUMIFS(BOM!$AB$11:$AB$410,BOM!$B$11:$B$410,$A18,BOM!$R$11:$R$410,"&lt;&gt;Cancelled")</f>
        <v>0</v>
      </c>
    </row>
    <row r="19" customFormat="false" ht="15" hidden="false" customHeight="false" outlineLevel="0" collapsed="false">
      <c r="A19" s="35" t="str">
        <f aca="false">Lists!$A$13</f>
        <v>190 (rename)</v>
      </c>
      <c r="B19" s="35" t="n">
        <f aca="false">COUNTIFS(BOM!$B$11:$B$410,$A19,BOM!$D$11:$D$410,"&lt;&gt;",BOM!$R$11:$R$410,"&lt;&gt;Cancelled")</f>
        <v>0</v>
      </c>
      <c r="C19" s="35" t="n">
        <f aca="false">COUNTIFS(BOM!$B$11:$B$410,$A19,BOM!$D$11:$D$410,"&lt;&gt;",BOM!$R$11:$R$410,"&lt;&gt;Cancelled")-COUNTIFS(BOM!$B$11:$B$410,$A19,BOM!$D$11:$D$410,"&lt;&gt;",BOM!$R$11:$R$410,"Not Finalized")-COUNTIFS(BOM!$B$11:$B$410,$A19,BOM!$D$11:$D$410,"&lt;&gt;",BOM!$R$11:$R$410,"")</f>
        <v>0</v>
      </c>
      <c r="D19" s="45" t="n">
        <f aca="false">IF($B19=0,0,C19/$B19)</f>
        <v>0</v>
      </c>
      <c r="E19" s="35" t="n">
        <f aca="false">COUNTIFS(BOM!$B$11:$B$410,$A19,BOM!$D$11:$D$410,"&lt;&gt;",BOM!$R$11:$R$410,"Purchased – Not Received")+COUNTIFS(BOM!$B$11:$B$410,$A19,BOM!$D$11:$D$410,"&lt;&gt;",BOM!$R$11:$R$410,"Received")+COUNTIFS(BOM!$B$11:$B$410,$A19,BOM!$D$11:$D$410,"&lt;&gt;",BOM!$R$11:$R$410,"NSW Purchased")</f>
        <v>0</v>
      </c>
      <c r="F19" s="45" t="n">
        <f aca="false">IF($B19=0,0,E19/$B19)</f>
        <v>0</v>
      </c>
      <c r="G19" s="35" t="n">
        <f aca="false">COUNTIFS(BOM!$B$11:$B$410,$A19,BOM!$D$11:$D$410,"&lt;&gt;",BOM!$R$11:$R$410,"Received")+COUNTIFS(BOM!$B$11:$B$410,$A19,BOM!$D$11:$D$410,"&lt;&gt;",BOM!$R$11:$R$410,"NSW Purchased")</f>
        <v>0</v>
      </c>
      <c r="H19" s="45" t="n">
        <f aca="false">IF($B19=0,0,G19/$B19)</f>
        <v>0</v>
      </c>
      <c r="I19" s="46" t="n">
        <f aca="false">COUNTIFS(BOM!$B$11:$B$410,$A19,BOM!$AF$11:$AF$410,"OVERDUE")</f>
        <v>0</v>
      </c>
      <c r="J19" s="35" t="n">
        <f aca="false">COUNTIFS(BOM!$B$11:$B$410,$A19,BOM!$AF$11:$AF$410,"?*")</f>
        <v>0</v>
      </c>
      <c r="K19" s="47" t="n">
        <f aca="false">SUMIFS(BOM!$AB$11:$AB$410,BOM!$B$11:$B$410,$A19,BOM!$R$11:$R$410,"&lt;&gt;Cancelled")</f>
        <v>0</v>
      </c>
    </row>
    <row r="20" customFormat="false" ht="15" hidden="false" customHeight="false" outlineLevel="0" collapsed="false">
      <c r="A20" s="35" t="str">
        <f aca="false">Lists!$A$14</f>
        <v>200 (rename)</v>
      </c>
      <c r="B20" s="35" t="n">
        <f aca="false">COUNTIFS(BOM!$B$11:$B$410,$A20,BOM!$D$11:$D$410,"&lt;&gt;",BOM!$R$11:$R$410,"&lt;&gt;Cancelled")</f>
        <v>0</v>
      </c>
      <c r="C20" s="35" t="n">
        <f aca="false">COUNTIFS(BOM!$B$11:$B$410,$A20,BOM!$D$11:$D$410,"&lt;&gt;",BOM!$R$11:$R$410,"&lt;&gt;Cancelled")-COUNTIFS(BOM!$B$11:$B$410,$A20,BOM!$D$11:$D$410,"&lt;&gt;",BOM!$R$11:$R$410,"Not Finalized")-COUNTIFS(BOM!$B$11:$B$410,$A20,BOM!$D$11:$D$410,"&lt;&gt;",BOM!$R$11:$R$410,"")</f>
        <v>0</v>
      </c>
      <c r="D20" s="45" t="n">
        <f aca="false">IF($B20=0,0,C20/$B20)</f>
        <v>0</v>
      </c>
      <c r="E20" s="35" t="n">
        <f aca="false">COUNTIFS(BOM!$B$11:$B$410,$A20,BOM!$D$11:$D$410,"&lt;&gt;",BOM!$R$11:$R$410,"Purchased – Not Received")+COUNTIFS(BOM!$B$11:$B$410,$A20,BOM!$D$11:$D$410,"&lt;&gt;",BOM!$R$11:$R$410,"Received")+COUNTIFS(BOM!$B$11:$B$410,$A20,BOM!$D$11:$D$410,"&lt;&gt;",BOM!$R$11:$R$410,"NSW Purchased")</f>
        <v>0</v>
      </c>
      <c r="F20" s="45" t="n">
        <f aca="false">IF($B20=0,0,E20/$B20)</f>
        <v>0</v>
      </c>
      <c r="G20" s="35" t="n">
        <f aca="false">COUNTIFS(BOM!$B$11:$B$410,$A20,BOM!$D$11:$D$410,"&lt;&gt;",BOM!$R$11:$R$410,"Received")+COUNTIFS(BOM!$B$11:$B$410,$A20,BOM!$D$11:$D$410,"&lt;&gt;",BOM!$R$11:$R$410,"NSW Purchased")</f>
        <v>0</v>
      </c>
      <c r="H20" s="45" t="n">
        <f aca="false">IF($B20=0,0,G20/$B20)</f>
        <v>0</v>
      </c>
      <c r="I20" s="46" t="n">
        <f aca="false">COUNTIFS(BOM!$B$11:$B$410,$A20,BOM!$AF$11:$AF$410,"OVERDUE")</f>
        <v>0</v>
      </c>
      <c r="J20" s="35" t="n">
        <f aca="false">COUNTIFS(BOM!$B$11:$B$410,$A20,BOM!$AF$11:$AF$410,"?*")</f>
        <v>0</v>
      </c>
      <c r="K20" s="47" t="n">
        <f aca="false">SUMIFS(BOM!$AB$11:$AB$410,BOM!$B$11:$B$410,$A20,BOM!$R$11:$R$410,"&lt;&gt;Cancelled")</f>
        <v>0</v>
      </c>
    </row>
    <row r="21" customFormat="false" ht="15" hidden="false" customHeight="false" outlineLevel="0" collapsed="false">
      <c r="A21" s="35" t="str">
        <f aca="false">Lists!$A$15</f>
        <v>210 (rename)</v>
      </c>
      <c r="B21" s="35" t="n">
        <f aca="false">COUNTIFS(BOM!$B$11:$B$410,$A21,BOM!$D$11:$D$410,"&lt;&gt;",BOM!$R$11:$R$410,"&lt;&gt;Cancelled")</f>
        <v>0</v>
      </c>
      <c r="C21" s="35" t="n">
        <f aca="false">COUNTIFS(BOM!$B$11:$B$410,$A21,BOM!$D$11:$D$410,"&lt;&gt;",BOM!$R$11:$R$410,"&lt;&gt;Cancelled")-COUNTIFS(BOM!$B$11:$B$410,$A21,BOM!$D$11:$D$410,"&lt;&gt;",BOM!$R$11:$R$410,"Not Finalized")-COUNTIFS(BOM!$B$11:$B$410,$A21,BOM!$D$11:$D$410,"&lt;&gt;",BOM!$R$11:$R$410,"")</f>
        <v>0</v>
      </c>
      <c r="D21" s="45" t="n">
        <f aca="false">IF($B21=0,0,C21/$B21)</f>
        <v>0</v>
      </c>
      <c r="E21" s="35" t="n">
        <f aca="false">COUNTIFS(BOM!$B$11:$B$410,$A21,BOM!$D$11:$D$410,"&lt;&gt;",BOM!$R$11:$R$410,"Purchased – Not Received")+COUNTIFS(BOM!$B$11:$B$410,$A21,BOM!$D$11:$D$410,"&lt;&gt;",BOM!$R$11:$R$410,"Received")+COUNTIFS(BOM!$B$11:$B$410,$A21,BOM!$D$11:$D$410,"&lt;&gt;",BOM!$R$11:$R$410,"NSW Purchased")</f>
        <v>0</v>
      </c>
      <c r="F21" s="45" t="n">
        <f aca="false">IF($B21=0,0,E21/$B21)</f>
        <v>0</v>
      </c>
      <c r="G21" s="35" t="n">
        <f aca="false">COUNTIFS(BOM!$B$11:$B$410,$A21,BOM!$D$11:$D$410,"&lt;&gt;",BOM!$R$11:$R$410,"Received")+COUNTIFS(BOM!$B$11:$B$410,$A21,BOM!$D$11:$D$410,"&lt;&gt;",BOM!$R$11:$R$410,"NSW Purchased")</f>
        <v>0</v>
      </c>
      <c r="H21" s="45" t="n">
        <f aca="false">IF($B21=0,0,G21/$B21)</f>
        <v>0</v>
      </c>
      <c r="I21" s="46" t="n">
        <f aca="false">COUNTIFS(BOM!$B$11:$B$410,$A21,BOM!$AF$11:$AF$410,"OVERDUE")</f>
        <v>0</v>
      </c>
      <c r="J21" s="35" t="n">
        <f aca="false">COUNTIFS(BOM!$B$11:$B$410,$A21,BOM!$AF$11:$AF$410,"?*")</f>
        <v>0</v>
      </c>
      <c r="K21" s="47" t="n">
        <f aca="false">SUMIFS(BOM!$AB$11:$AB$410,BOM!$B$11:$B$410,$A21,BOM!$R$11:$R$410,"&lt;&gt;Cancelled")</f>
        <v>0</v>
      </c>
    </row>
    <row r="22" customFormat="false" ht="15" hidden="false" customHeight="false" outlineLevel="0" collapsed="false">
      <c r="A22" s="35" t="str">
        <f aca="false">Lists!$A$16</f>
        <v>220 (rename)</v>
      </c>
      <c r="B22" s="35" t="n">
        <f aca="false">COUNTIFS(BOM!$B$11:$B$410,$A22,BOM!$D$11:$D$410,"&lt;&gt;",BOM!$R$11:$R$410,"&lt;&gt;Cancelled")</f>
        <v>0</v>
      </c>
      <c r="C22" s="35" t="n">
        <f aca="false">COUNTIFS(BOM!$B$11:$B$410,$A22,BOM!$D$11:$D$410,"&lt;&gt;",BOM!$R$11:$R$410,"&lt;&gt;Cancelled")-COUNTIFS(BOM!$B$11:$B$410,$A22,BOM!$D$11:$D$410,"&lt;&gt;",BOM!$R$11:$R$410,"Not Finalized")-COUNTIFS(BOM!$B$11:$B$410,$A22,BOM!$D$11:$D$410,"&lt;&gt;",BOM!$R$11:$R$410,"")</f>
        <v>0</v>
      </c>
      <c r="D22" s="45" t="n">
        <f aca="false">IF($B22=0,0,C22/$B22)</f>
        <v>0</v>
      </c>
      <c r="E22" s="35" t="n">
        <f aca="false">COUNTIFS(BOM!$B$11:$B$410,$A22,BOM!$D$11:$D$410,"&lt;&gt;",BOM!$R$11:$R$410,"Purchased – Not Received")+COUNTIFS(BOM!$B$11:$B$410,$A22,BOM!$D$11:$D$410,"&lt;&gt;",BOM!$R$11:$R$410,"Received")+COUNTIFS(BOM!$B$11:$B$410,$A22,BOM!$D$11:$D$410,"&lt;&gt;",BOM!$R$11:$R$410,"NSW Purchased")</f>
        <v>0</v>
      </c>
      <c r="F22" s="45" t="n">
        <f aca="false">IF($B22=0,0,E22/$B22)</f>
        <v>0</v>
      </c>
      <c r="G22" s="35" t="n">
        <f aca="false">COUNTIFS(BOM!$B$11:$B$410,$A22,BOM!$D$11:$D$410,"&lt;&gt;",BOM!$R$11:$R$410,"Received")+COUNTIFS(BOM!$B$11:$B$410,$A22,BOM!$D$11:$D$410,"&lt;&gt;",BOM!$R$11:$R$410,"NSW Purchased")</f>
        <v>0</v>
      </c>
      <c r="H22" s="45" t="n">
        <f aca="false">IF($B22=0,0,G22/$B22)</f>
        <v>0</v>
      </c>
      <c r="I22" s="46" t="n">
        <f aca="false">COUNTIFS(BOM!$B$11:$B$410,$A22,BOM!$AF$11:$AF$410,"OVERDUE")</f>
        <v>0</v>
      </c>
      <c r="J22" s="35" t="n">
        <f aca="false">COUNTIFS(BOM!$B$11:$B$410,$A22,BOM!$AF$11:$AF$410,"?*")</f>
        <v>0</v>
      </c>
      <c r="K22" s="47" t="n">
        <f aca="false">SUMIFS(BOM!$AB$11:$AB$410,BOM!$B$11:$B$410,$A22,BOM!$R$11:$R$410,"&lt;&gt;Cancelled")</f>
        <v>0</v>
      </c>
    </row>
    <row r="23" customFormat="false" ht="15" hidden="false" customHeight="false" outlineLevel="0" collapsed="false">
      <c r="A23" s="35" t="str">
        <f aca="false">Lists!$A$17</f>
        <v>230 (rename)</v>
      </c>
      <c r="B23" s="35" t="n">
        <f aca="false">COUNTIFS(BOM!$B$11:$B$410,$A23,BOM!$D$11:$D$410,"&lt;&gt;",BOM!$R$11:$R$410,"&lt;&gt;Cancelled")</f>
        <v>0</v>
      </c>
      <c r="C23" s="35" t="n">
        <f aca="false">COUNTIFS(BOM!$B$11:$B$410,$A23,BOM!$D$11:$D$410,"&lt;&gt;",BOM!$R$11:$R$410,"&lt;&gt;Cancelled")-COUNTIFS(BOM!$B$11:$B$410,$A23,BOM!$D$11:$D$410,"&lt;&gt;",BOM!$R$11:$R$410,"Not Finalized")-COUNTIFS(BOM!$B$11:$B$410,$A23,BOM!$D$11:$D$410,"&lt;&gt;",BOM!$R$11:$R$410,"")</f>
        <v>0</v>
      </c>
      <c r="D23" s="45" t="n">
        <f aca="false">IF($B23=0,0,C23/$B23)</f>
        <v>0</v>
      </c>
      <c r="E23" s="35" t="n">
        <f aca="false">COUNTIFS(BOM!$B$11:$B$410,$A23,BOM!$D$11:$D$410,"&lt;&gt;",BOM!$R$11:$R$410,"Purchased – Not Received")+COUNTIFS(BOM!$B$11:$B$410,$A23,BOM!$D$11:$D$410,"&lt;&gt;",BOM!$R$11:$R$410,"Received")+COUNTIFS(BOM!$B$11:$B$410,$A23,BOM!$D$11:$D$410,"&lt;&gt;",BOM!$R$11:$R$410,"NSW Purchased")</f>
        <v>0</v>
      </c>
      <c r="F23" s="45" t="n">
        <f aca="false">IF($B23=0,0,E23/$B23)</f>
        <v>0</v>
      </c>
      <c r="G23" s="35" t="n">
        <f aca="false">COUNTIFS(BOM!$B$11:$B$410,$A23,BOM!$D$11:$D$410,"&lt;&gt;",BOM!$R$11:$R$410,"Received")+COUNTIFS(BOM!$B$11:$B$410,$A23,BOM!$D$11:$D$410,"&lt;&gt;",BOM!$R$11:$R$410,"NSW Purchased")</f>
        <v>0</v>
      </c>
      <c r="H23" s="45" t="n">
        <f aca="false">IF($B23=0,0,G23/$B23)</f>
        <v>0</v>
      </c>
      <c r="I23" s="46" t="n">
        <f aca="false">COUNTIFS(BOM!$B$11:$B$410,$A23,BOM!$AF$11:$AF$410,"OVERDUE")</f>
        <v>0</v>
      </c>
      <c r="J23" s="35" t="n">
        <f aca="false">COUNTIFS(BOM!$B$11:$B$410,$A23,BOM!$AF$11:$AF$410,"?*")</f>
        <v>0</v>
      </c>
      <c r="K23" s="47" t="n">
        <f aca="false">SUMIFS(BOM!$AB$11:$AB$410,BOM!$B$11:$B$410,$A23,BOM!$R$11:$R$410,"&lt;&gt;Cancelled")</f>
        <v>0</v>
      </c>
    </row>
    <row r="24" customFormat="false" ht="15" hidden="false" customHeight="false" outlineLevel="0" collapsed="false">
      <c r="A24" s="35" t="str">
        <f aca="false">Lists!$A$18</f>
        <v>240 (rename)</v>
      </c>
      <c r="B24" s="35" t="n">
        <f aca="false">COUNTIFS(BOM!$B$11:$B$410,$A24,BOM!$D$11:$D$410,"&lt;&gt;",BOM!$R$11:$R$410,"&lt;&gt;Cancelled")</f>
        <v>0</v>
      </c>
      <c r="C24" s="35" t="n">
        <f aca="false">COUNTIFS(BOM!$B$11:$B$410,$A24,BOM!$D$11:$D$410,"&lt;&gt;",BOM!$R$11:$R$410,"&lt;&gt;Cancelled")-COUNTIFS(BOM!$B$11:$B$410,$A24,BOM!$D$11:$D$410,"&lt;&gt;",BOM!$R$11:$R$410,"Not Finalized")-COUNTIFS(BOM!$B$11:$B$410,$A24,BOM!$D$11:$D$410,"&lt;&gt;",BOM!$R$11:$R$410,"")</f>
        <v>0</v>
      </c>
      <c r="D24" s="45" t="n">
        <f aca="false">IF($B24=0,0,C24/$B24)</f>
        <v>0</v>
      </c>
      <c r="E24" s="35" t="n">
        <f aca="false">COUNTIFS(BOM!$B$11:$B$410,$A24,BOM!$D$11:$D$410,"&lt;&gt;",BOM!$R$11:$R$410,"Purchased – Not Received")+COUNTIFS(BOM!$B$11:$B$410,$A24,BOM!$D$11:$D$410,"&lt;&gt;",BOM!$R$11:$R$410,"Received")+COUNTIFS(BOM!$B$11:$B$410,$A24,BOM!$D$11:$D$410,"&lt;&gt;",BOM!$R$11:$R$410,"NSW Purchased")</f>
        <v>0</v>
      </c>
      <c r="F24" s="45" t="n">
        <f aca="false">IF($B24=0,0,E24/$B24)</f>
        <v>0</v>
      </c>
      <c r="G24" s="35" t="n">
        <f aca="false">COUNTIFS(BOM!$B$11:$B$410,$A24,BOM!$D$11:$D$410,"&lt;&gt;",BOM!$R$11:$R$410,"Received")+COUNTIFS(BOM!$B$11:$B$410,$A24,BOM!$D$11:$D$410,"&lt;&gt;",BOM!$R$11:$R$410,"NSW Purchased")</f>
        <v>0</v>
      </c>
      <c r="H24" s="45" t="n">
        <f aca="false">IF($B24=0,0,G24/$B24)</f>
        <v>0</v>
      </c>
      <c r="I24" s="46" t="n">
        <f aca="false">COUNTIFS(BOM!$B$11:$B$410,$A24,BOM!$AF$11:$AF$410,"OVERDUE")</f>
        <v>0</v>
      </c>
      <c r="J24" s="35" t="n">
        <f aca="false">COUNTIFS(BOM!$B$11:$B$410,$A24,BOM!$AF$11:$AF$410,"?*")</f>
        <v>0</v>
      </c>
      <c r="K24" s="47" t="n">
        <f aca="false">SUMIFS(BOM!$AB$11:$AB$410,BOM!$B$11:$B$410,$A24,BOM!$R$11:$R$410,"&lt;&gt;Cancelled")</f>
        <v>0</v>
      </c>
    </row>
    <row r="25" customFormat="false" ht="15" hidden="false" customHeight="false" outlineLevel="0" collapsed="false">
      <c r="A25" s="35" t="str">
        <f aca="false">Lists!$A$19</f>
        <v>250 (rename)</v>
      </c>
      <c r="B25" s="35" t="n">
        <f aca="false">COUNTIFS(BOM!$B$11:$B$410,$A25,BOM!$D$11:$D$410,"&lt;&gt;",BOM!$R$11:$R$410,"&lt;&gt;Cancelled")</f>
        <v>0</v>
      </c>
      <c r="C25" s="35" t="n">
        <f aca="false">COUNTIFS(BOM!$B$11:$B$410,$A25,BOM!$D$11:$D$410,"&lt;&gt;",BOM!$R$11:$R$410,"&lt;&gt;Cancelled")-COUNTIFS(BOM!$B$11:$B$410,$A25,BOM!$D$11:$D$410,"&lt;&gt;",BOM!$R$11:$R$410,"Not Finalized")-COUNTIFS(BOM!$B$11:$B$410,$A25,BOM!$D$11:$D$410,"&lt;&gt;",BOM!$R$11:$R$410,"")</f>
        <v>0</v>
      </c>
      <c r="D25" s="45" t="n">
        <f aca="false">IF($B25=0,0,C25/$B25)</f>
        <v>0</v>
      </c>
      <c r="E25" s="35" t="n">
        <f aca="false">COUNTIFS(BOM!$B$11:$B$410,$A25,BOM!$D$11:$D$410,"&lt;&gt;",BOM!$R$11:$R$410,"Purchased – Not Received")+COUNTIFS(BOM!$B$11:$B$410,$A25,BOM!$D$11:$D$410,"&lt;&gt;",BOM!$R$11:$R$410,"Received")+COUNTIFS(BOM!$B$11:$B$410,$A25,BOM!$D$11:$D$410,"&lt;&gt;",BOM!$R$11:$R$410,"NSW Purchased")</f>
        <v>0</v>
      </c>
      <c r="F25" s="45" t="n">
        <f aca="false">IF($B25=0,0,E25/$B25)</f>
        <v>0</v>
      </c>
      <c r="G25" s="35" t="n">
        <f aca="false">COUNTIFS(BOM!$B$11:$B$410,$A25,BOM!$D$11:$D$410,"&lt;&gt;",BOM!$R$11:$R$410,"Received")+COUNTIFS(BOM!$B$11:$B$410,$A25,BOM!$D$11:$D$410,"&lt;&gt;",BOM!$R$11:$R$410,"NSW Purchased")</f>
        <v>0</v>
      </c>
      <c r="H25" s="45" t="n">
        <f aca="false">IF($B25=0,0,G25/$B25)</f>
        <v>0</v>
      </c>
      <c r="I25" s="46" t="n">
        <f aca="false">COUNTIFS(BOM!$B$11:$B$410,$A25,BOM!$AF$11:$AF$410,"OVERDUE")</f>
        <v>0</v>
      </c>
      <c r="J25" s="35" t="n">
        <f aca="false">COUNTIFS(BOM!$B$11:$B$410,$A25,BOM!$AF$11:$AF$410,"?*")</f>
        <v>0</v>
      </c>
      <c r="K25" s="47" t="n">
        <f aca="false">SUMIFS(BOM!$AB$11:$AB$410,BOM!$B$11:$B$410,$A25,BOM!$R$11:$R$410,"&lt;&gt;Cancelled")</f>
        <v>0</v>
      </c>
    </row>
    <row r="26" customFormat="false" ht="15" hidden="false" customHeight="false" outlineLevel="0" collapsed="false">
      <c r="A26" s="48" t="s">
        <v>135</v>
      </c>
      <c r="B26" s="48" t="n">
        <f aca="false">SUM(B11:B25)</f>
        <v>0</v>
      </c>
      <c r="C26" s="48" t="n">
        <f aca="false">SUM(C11:C25)</f>
        <v>0</v>
      </c>
      <c r="D26" s="49" t="n">
        <f aca="false">IF($B26=0,0,C26/$B26)</f>
        <v>0</v>
      </c>
      <c r="E26" s="48" t="n">
        <f aca="false">SUM(E11:E25)</f>
        <v>0</v>
      </c>
      <c r="F26" s="49" t="n">
        <f aca="false">IF($B26=0,0,E26/$B26)</f>
        <v>0</v>
      </c>
      <c r="G26" s="48" t="n">
        <f aca="false">SUM(G11:G25)</f>
        <v>0</v>
      </c>
      <c r="H26" s="49" t="n">
        <f aca="false">IF($B26=0,0,G26/$B26)</f>
        <v>0</v>
      </c>
      <c r="I26" s="50" t="n">
        <f aca="false">SUM(I11:I25)</f>
        <v>0</v>
      </c>
      <c r="J26" s="48" t="n">
        <f aca="false">SUM(J11:J25)</f>
        <v>0</v>
      </c>
      <c r="K26" s="51" t="n">
        <f aca="false">SUM(K11:K25)</f>
        <v>0</v>
      </c>
    </row>
    <row r="28" customFormat="false" ht="15" hidden="false" customHeight="false" outlineLevel="0" collapsed="false">
      <c r="A28" s="39" t="s">
        <v>136</v>
      </c>
    </row>
    <row r="29" customFormat="false" ht="23.85" hidden="false" customHeight="false" outlineLevel="0" collapsed="false">
      <c r="A29" s="44" t="s">
        <v>128</v>
      </c>
      <c r="B29" s="44" t="s">
        <v>129</v>
      </c>
      <c r="C29" s="44" t="s">
        <v>123</v>
      </c>
      <c r="D29" s="44" t="s">
        <v>130</v>
      </c>
      <c r="E29" s="44" t="s">
        <v>124</v>
      </c>
      <c r="F29" s="44" t="s">
        <v>131</v>
      </c>
      <c r="G29" s="44" t="s">
        <v>17</v>
      </c>
      <c r="H29" s="44" t="s">
        <v>132</v>
      </c>
      <c r="I29" s="44" t="s">
        <v>125</v>
      </c>
      <c r="J29" s="44" t="s">
        <v>133</v>
      </c>
      <c r="K29" s="44" t="s">
        <v>134</v>
      </c>
    </row>
    <row r="30" customFormat="false" ht="15" hidden="false" customHeight="false" outlineLevel="0" collapsed="false">
      <c r="A30" s="35" t="str">
        <f aca="false">Lists!$B$5</f>
        <v>Mechanical</v>
      </c>
      <c r="B30" s="35" t="n">
        <f aca="false">COUNTIFS(BOM!$C$11:$C$410,$A30,BOM!$D$11:$D$410,"&lt;&gt;",BOM!$R$11:$R$410,"&lt;&gt;Cancelled")</f>
        <v>0</v>
      </c>
      <c r="C30" s="35" t="n">
        <f aca="false">COUNTIFS(BOM!$C$11:$C$410,$A30,BOM!$D$11:$D$410,"&lt;&gt;",BOM!$R$11:$R$410,"&lt;&gt;Cancelled")-COUNTIFS(BOM!$C$11:$C$410,$A30,BOM!$D$11:$D$410,"&lt;&gt;",BOM!$R$11:$R$410,"Not Finalized")-COUNTIFS(BOM!$C$11:$C$410,$A30,BOM!$D$11:$D$410,"&lt;&gt;",BOM!$R$11:$R$410,"")</f>
        <v>0</v>
      </c>
      <c r="D30" s="45" t="n">
        <f aca="false">IF($B30=0,0,C30/$B30)</f>
        <v>0</v>
      </c>
      <c r="E30" s="35" t="n">
        <f aca="false">COUNTIFS(BOM!$C$11:$C$410,$A30,BOM!$D$11:$D$410,"&lt;&gt;",BOM!$R$11:$R$410,"Purchased – Not Received")+COUNTIFS(BOM!$C$11:$C$410,$A30,BOM!$D$11:$D$410,"&lt;&gt;",BOM!$R$11:$R$410,"Received")+COUNTIFS(BOM!$C$11:$C$410,$A30,BOM!$D$11:$D$410,"&lt;&gt;",BOM!$R$11:$R$410,"NSW Purchased")</f>
        <v>0</v>
      </c>
      <c r="F30" s="45" t="n">
        <f aca="false">IF($B30=0,0,E30/$B30)</f>
        <v>0</v>
      </c>
      <c r="G30" s="35" t="n">
        <f aca="false">COUNTIFS(BOM!$C$11:$C$410,$A30,BOM!$D$11:$D$410,"&lt;&gt;",BOM!$R$11:$R$410,"Received")+COUNTIFS(BOM!$C$11:$C$410,$A30,BOM!$D$11:$D$410,"&lt;&gt;",BOM!$R$11:$R$410,"NSW Purchased")</f>
        <v>0</v>
      </c>
      <c r="H30" s="45" t="n">
        <f aca="false">IF($B30=0,0,G30/$B30)</f>
        <v>0</v>
      </c>
      <c r="I30" s="46" t="n">
        <f aca="false">COUNTIFS(BOM!$C$11:$C$410,$A30,BOM!$AF$11:$AF$410,"OVERDUE")</f>
        <v>0</v>
      </c>
      <c r="J30" s="35" t="n">
        <f aca="false">COUNTIFS(BOM!$C$11:$C$410,$A30,BOM!$AF$11:$AF$410,"?*")</f>
        <v>0</v>
      </c>
      <c r="K30" s="47" t="n">
        <f aca="false">SUMIFS(BOM!$AB$11:$AB$410,BOM!$C$11:$C$410,$A30,BOM!$R$11:$R$410,"&lt;&gt;Cancelled")</f>
        <v>0</v>
      </c>
    </row>
    <row r="31" customFormat="false" ht="15" hidden="false" customHeight="false" outlineLevel="0" collapsed="false">
      <c r="A31" s="35" t="str">
        <f aca="false">Lists!$B$6</f>
        <v>Electrical</v>
      </c>
      <c r="B31" s="35" t="n">
        <f aca="false">COUNTIFS(BOM!$C$11:$C$410,$A31,BOM!$D$11:$D$410,"&lt;&gt;",BOM!$R$11:$R$410,"&lt;&gt;Cancelled")</f>
        <v>0</v>
      </c>
      <c r="C31" s="35" t="n">
        <f aca="false">COUNTIFS(BOM!$C$11:$C$410,$A31,BOM!$D$11:$D$410,"&lt;&gt;",BOM!$R$11:$R$410,"&lt;&gt;Cancelled")-COUNTIFS(BOM!$C$11:$C$410,$A31,BOM!$D$11:$D$410,"&lt;&gt;",BOM!$R$11:$R$410,"Not Finalized")-COUNTIFS(BOM!$C$11:$C$410,$A31,BOM!$D$11:$D$410,"&lt;&gt;",BOM!$R$11:$R$410,"")</f>
        <v>0</v>
      </c>
      <c r="D31" s="45" t="n">
        <f aca="false">IF($B31=0,0,C31/$B31)</f>
        <v>0</v>
      </c>
      <c r="E31" s="35" t="n">
        <f aca="false">COUNTIFS(BOM!$C$11:$C$410,$A31,BOM!$D$11:$D$410,"&lt;&gt;",BOM!$R$11:$R$410,"Purchased – Not Received")+COUNTIFS(BOM!$C$11:$C$410,$A31,BOM!$D$11:$D$410,"&lt;&gt;",BOM!$R$11:$R$410,"Received")+COUNTIFS(BOM!$C$11:$C$410,$A31,BOM!$D$11:$D$410,"&lt;&gt;",BOM!$R$11:$R$410,"NSW Purchased")</f>
        <v>0</v>
      </c>
      <c r="F31" s="45" t="n">
        <f aca="false">IF($B31=0,0,E31/$B31)</f>
        <v>0</v>
      </c>
      <c r="G31" s="35" t="n">
        <f aca="false">COUNTIFS(BOM!$C$11:$C$410,$A31,BOM!$D$11:$D$410,"&lt;&gt;",BOM!$R$11:$R$410,"Received")+COUNTIFS(BOM!$C$11:$C$410,$A31,BOM!$D$11:$D$410,"&lt;&gt;",BOM!$R$11:$R$410,"NSW Purchased")</f>
        <v>0</v>
      </c>
      <c r="H31" s="45" t="n">
        <f aca="false">IF($B31=0,0,G31/$B31)</f>
        <v>0</v>
      </c>
      <c r="I31" s="46" t="n">
        <f aca="false">COUNTIFS(BOM!$C$11:$C$410,$A31,BOM!$AF$11:$AF$410,"OVERDUE")</f>
        <v>0</v>
      </c>
      <c r="J31" s="35" t="n">
        <f aca="false">COUNTIFS(BOM!$C$11:$C$410,$A31,BOM!$AF$11:$AF$410,"?*")</f>
        <v>0</v>
      </c>
      <c r="K31" s="47" t="n">
        <f aca="false">SUMIFS(BOM!$AB$11:$AB$410,BOM!$C$11:$C$410,$A31,BOM!$R$11:$R$410,"&lt;&gt;Cancelled")</f>
        <v>0</v>
      </c>
    </row>
    <row r="32" customFormat="false" ht="15" hidden="false" customHeight="false" outlineLevel="0" collapsed="false">
      <c r="A32" s="35" t="str">
        <f aca="false">Lists!$B$7</f>
        <v>Pneumatic</v>
      </c>
      <c r="B32" s="35" t="n">
        <f aca="false">COUNTIFS(BOM!$C$11:$C$410,$A32,BOM!$D$11:$D$410,"&lt;&gt;",BOM!$R$11:$R$410,"&lt;&gt;Cancelled")</f>
        <v>0</v>
      </c>
      <c r="C32" s="35" t="n">
        <f aca="false">COUNTIFS(BOM!$C$11:$C$410,$A32,BOM!$D$11:$D$410,"&lt;&gt;",BOM!$R$11:$R$410,"&lt;&gt;Cancelled")-COUNTIFS(BOM!$C$11:$C$410,$A32,BOM!$D$11:$D$410,"&lt;&gt;",BOM!$R$11:$R$410,"Not Finalized")-COUNTIFS(BOM!$C$11:$C$410,$A32,BOM!$D$11:$D$410,"&lt;&gt;",BOM!$R$11:$R$410,"")</f>
        <v>0</v>
      </c>
      <c r="D32" s="45" t="n">
        <f aca="false">IF($B32=0,0,C32/$B32)</f>
        <v>0</v>
      </c>
      <c r="E32" s="35" t="n">
        <f aca="false">COUNTIFS(BOM!$C$11:$C$410,$A32,BOM!$D$11:$D$410,"&lt;&gt;",BOM!$R$11:$R$410,"Purchased – Not Received")+COUNTIFS(BOM!$C$11:$C$410,$A32,BOM!$D$11:$D$410,"&lt;&gt;",BOM!$R$11:$R$410,"Received")+COUNTIFS(BOM!$C$11:$C$410,$A32,BOM!$D$11:$D$410,"&lt;&gt;",BOM!$R$11:$R$410,"NSW Purchased")</f>
        <v>0</v>
      </c>
      <c r="F32" s="45" t="n">
        <f aca="false">IF($B32=0,0,E32/$B32)</f>
        <v>0</v>
      </c>
      <c r="G32" s="35" t="n">
        <f aca="false">COUNTIFS(BOM!$C$11:$C$410,$A32,BOM!$D$11:$D$410,"&lt;&gt;",BOM!$R$11:$R$410,"Received")+COUNTIFS(BOM!$C$11:$C$410,$A32,BOM!$D$11:$D$410,"&lt;&gt;",BOM!$R$11:$R$410,"NSW Purchased")</f>
        <v>0</v>
      </c>
      <c r="H32" s="45" t="n">
        <f aca="false">IF($B32=0,0,G32/$B32)</f>
        <v>0</v>
      </c>
      <c r="I32" s="46" t="n">
        <f aca="false">COUNTIFS(BOM!$C$11:$C$410,$A32,BOM!$AF$11:$AF$410,"OVERDUE")</f>
        <v>0</v>
      </c>
      <c r="J32" s="35" t="n">
        <f aca="false">COUNTIFS(BOM!$C$11:$C$410,$A32,BOM!$AF$11:$AF$410,"?*")</f>
        <v>0</v>
      </c>
      <c r="K32" s="47" t="n">
        <f aca="false">SUMIFS(BOM!$AB$11:$AB$410,BOM!$C$11:$C$410,$A32,BOM!$R$11:$R$410,"&lt;&gt;Cancelled")</f>
        <v>0</v>
      </c>
    </row>
    <row r="33" customFormat="false" ht="15" hidden="false" customHeight="false" outlineLevel="0" collapsed="false">
      <c r="A33" s="35" t="str">
        <f aca="false">Lists!$B$8</f>
        <v>Software / Vision</v>
      </c>
      <c r="B33" s="35" t="n">
        <f aca="false">COUNTIFS(BOM!$C$11:$C$410,$A33,BOM!$D$11:$D$410,"&lt;&gt;",BOM!$R$11:$R$410,"&lt;&gt;Cancelled")</f>
        <v>0</v>
      </c>
      <c r="C33" s="35" t="n">
        <f aca="false">COUNTIFS(BOM!$C$11:$C$410,$A33,BOM!$D$11:$D$410,"&lt;&gt;",BOM!$R$11:$R$410,"&lt;&gt;Cancelled")-COUNTIFS(BOM!$C$11:$C$410,$A33,BOM!$D$11:$D$410,"&lt;&gt;",BOM!$R$11:$R$410,"Not Finalized")-COUNTIFS(BOM!$C$11:$C$410,$A33,BOM!$D$11:$D$410,"&lt;&gt;",BOM!$R$11:$R$410,"")</f>
        <v>0</v>
      </c>
      <c r="D33" s="45" t="n">
        <f aca="false">IF($B33=0,0,C33/$B33)</f>
        <v>0</v>
      </c>
      <c r="E33" s="35" t="n">
        <f aca="false">COUNTIFS(BOM!$C$11:$C$410,$A33,BOM!$D$11:$D$410,"&lt;&gt;",BOM!$R$11:$R$410,"Purchased – Not Received")+COUNTIFS(BOM!$C$11:$C$410,$A33,BOM!$D$11:$D$410,"&lt;&gt;",BOM!$R$11:$R$410,"Received")+COUNTIFS(BOM!$C$11:$C$410,$A33,BOM!$D$11:$D$410,"&lt;&gt;",BOM!$R$11:$R$410,"NSW Purchased")</f>
        <v>0</v>
      </c>
      <c r="F33" s="45" t="n">
        <f aca="false">IF($B33=0,0,E33/$B33)</f>
        <v>0</v>
      </c>
      <c r="G33" s="35" t="n">
        <f aca="false">COUNTIFS(BOM!$C$11:$C$410,$A33,BOM!$D$11:$D$410,"&lt;&gt;",BOM!$R$11:$R$410,"Received")+COUNTIFS(BOM!$C$11:$C$410,$A33,BOM!$D$11:$D$410,"&lt;&gt;",BOM!$R$11:$R$410,"NSW Purchased")</f>
        <v>0</v>
      </c>
      <c r="H33" s="45" t="n">
        <f aca="false">IF($B33=0,0,G33/$B33)</f>
        <v>0</v>
      </c>
      <c r="I33" s="46" t="n">
        <f aca="false">COUNTIFS(BOM!$C$11:$C$410,$A33,BOM!$AF$11:$AF$410,"OVERDUE")</f>
        <v>0</v>
      </c>
      <c r="J33" s="35" t="n">
        <f aca="false">COUNTIFS(BOM!$C$11:$C$410,$A33,BOM!$AF$11:$AF$410,"?*")</f>
        <v>0</v>
      </c>
      <c r="K33" s="47" t="n">
        <f aca="false">SUMIFS(BOM!$AB$11:$AB$410,BOM!$C$11:$C$410,$A33,BOM!$R$11:$R$410,"&lt;&gt;Cancelled")</f>
        <v>0</v>
      </c>
    </row>
    <row r="34" customFormat="false" ht="15" hidden="false" customHeight="false" outlineLevel="0" collapsed="false">
      <c r="A34" s="35" t="str">
        <f aca="false">Lists!$B$9</f>
        <v>Others</v>
      </c>
      <c r="B34" s="35" t="n">
        <f aca="false">COUNTIFS(BOM!$C$11:$C$410,$A34,BOM!$D$11:$D$410,"&lt;&gt;",BOM!$R$11:$R$410,"&lt;&gt;Cancelled")</f>
        <v>0</v>
      </c>
      <c r="C34" s="35" t="n">
        <f aca="false">COUNTIFS(BOM!$C$11:$C$410,$A34,BOM!$D$11:$D$410,"&lt;&gt;",BOM!$R$11:$R$410,"&lt;&gt;Cancelled")-COUNTIFS(BOM!$C$11:$C$410,$A34,BOM!$D$11:$D$410,"&lt;&gt;",BOM!$R$11:$R$410,"Not Finalized")-COUNTIFS(BOM!$C$11:$C$410,$A34,BOM!$D$11:$D$410,"&lt;&gt;",BOM!$R$11:$R$410,"")</f>
        <v>0</v>
      </c>
      <c r="D34" s="45" t="n">
        <f aca="false">IF($B34=0,0,C34/$B34)</f>
        <v>0</v>
      </c>
      <c r="E34" s="35" t="n">
        <f aca="false">COUNTIFS(BOM!$C$11:$C$410,$A34,BOM!$D$11:$D$410,"&lt;&gt;",BOM!$R$11:$R$410,"Purchased – Not Received")+COUNTIFS(BOM!$C$11:$C$410,$A34,BOM!$D$11:$D$410,"&lt;&gt;",BOM!$R$11:$R$410,"Received")+COUNTIFS(BOM!$C$11:$C$410,$A34,BOM!$D$11:$D$410,"&lt;&gt;",BOM!$R$11:$R$410,"NSW Purchased")</f>
        <v>0</v>
      </c>
      <c r="F34" s="45" t="n">
        <f aca="false">IF($B34=0,0,E34/$B34)</f>
        <v>0</v>
      </c>
      <c r="G34" s="35" t="n">
        <f aca="false">COUNTIFS(BOM!$C$11:$C$410,$A34,BOM!$D$11:$D$410,"&lt;&gt;",BOM!$R$11:$R$410,"Received")+COUNTIFS(BOM!$C$11:$C$410,$A34,BOM!$D$11:$D$410,"&lt;&gt;",BOM!$R$11:$R$410,"NSW Purchased")</f>
        <v>0</v>
      </c>
      <c r="H34" s="45" t="n">
        <f aca="false">IF($B34=0,0,G34/$B34)</f>
        <v>0</v>
      </c>
      <c r="I34" s="46" t="n">
        <f aca="false">COUNTIFS(BOM!$C$11:$C$410,$A34,BOM!$AF$11:$AF$410,"OVERDUE")</f>
        <v>0</v>
      </c>
      <c r="J34" s="35" t="n">
        <f aca="false">COUNTIFS(BOM!$C$11:$C$410,$A34,BOM!$AF$11:$AF$410,"?*")</f>
        <v>0</v>
      </c>
      <c r="K34" s="47" t="n">
        <f aca="false">SUMIFS(BOM!$AB$11:$AB$410,BOM!$C$11:$C$410,$A34,BOM!$R$11:$R$410,"&lt;&gt;Cancelled")</f>
        <v>0</v>
      </c>
    </row>
    <row r="35" customFormat="false" ht="15" hidden="false" customHeight="false" outlineLevel="0" collapsed="false">
      <c r="A35" s="48" t="s">
        <v>135</v>
      </c>
      <c r="B35" s="48" t="n">
        <f aca="false">SUM(B30:B34)</f>
        <v>0</v>
      </c>
      <c r="C35" s="48" t="n">
        <f aca="false">SUM(C30:C34)</f>
        <v>0</v>
      </c>
      <c r="D35" s="49" t="n">
        <f aca="false">IF($B35=0,0,C35/$B35)</f>
        <v>0</v>
      </c>
      <c r="E35" s="48" t="n">
        <f aca="false">SUM(E30:E34)</f>
        <v>0</v>
      </c>
      <c r="F35" s="49" t="n">
        <f aca="false">IF($B35=0,0,E35/$B35)</f>
        <v>0</v>
      </c>
      <c r="G35" s="48" t="n">
        <f aca="false">SUM(G30:G34)</f>
        <v>0</v>
      </c>
      <c r="H35" s="49" t="n">
        <f aca="false">IF($B35=0,0,G35/$B35)</f>
        <v>0</v>
      </c>
      <c r="I35" s="50" t="n">
        <f aca="false">SUM(I30:I34)</f>
        <v>0</v>
      </c>
      <c r="J35" s="48" t="n">
        <f aca="false">SUM(J30:J34)</f>
        <v>0</v>
      </c>
      <c r="K35" s="51" t="n">
        <f aca="false">SUM(K30:K34)</f>
        <v>0</v>
      </c>
    </row>
    <row r="37" customFormat="false" ht="15" hidden="false" customHeight="false" outlineLevel="0" collapsed="false">
      <c r="A37" s="39" t="s">
        <v>137</v>
      </c>
    </row>
    <row r="38" customFormat="false" ht="23.85" hidden="false" customHeight="false" outlineLevel="0" collapsed="false">
      <c r="A38" s="44" t="s">
        <v>128</v>
      </c>
      <c r="B38" s="44" t="s">
        <v>129</v>
      </c>
      <c r="C38" s="44" t="s">
        <v>123</v>
      </c>
      <c r="D38" s="44" t="s">
        <v>130</v>
      </c>
      <c r="E38" s="44" t="s">
        <v>124</v>
      </c>
      <c r="F38" s="44" t="s">
        <v>131</v>
      </c>
      <c r="G38" s="44" t="s">
        <v>17</v>
      </c>
      <c r="H38" s="44" t="s">
        <v>132</v>
      </c>
      <c r="I38" s="44" t="s">
        <v>125</v>
      </c>
      <c r="J38" s="44" t="s">
        <v>133</v>
      </c>
      <c r="K38" s="44" t="s">
        <v>134</v>
      </c>
    </row>
    <row r="39" customFormat="false" ht="15" hidden="false" customHeight="false" outlineLevel="0" collapsed="false">
      <c r="A39" s="35" t="str">
        <f aca="false">Lists!$C$5</f>
        <v>Fabricated Part</v>
      </c>
      <c r="B39" s="35" t="n">
        <f aca="false">COUNTIFS(BOM!$G$11:$G$410,$A39,BOM!$D$11:$D$410,"&lt;&gt;",BOM!$R$11:$R$410,"&lt;&gt;Cancelled")</f>
        <v>0</v>
      </c>
      <c r="C39" s="35" t="n">
        <f aca="false">COUNTIFS(BOM!$G$11:$G$410,$A39,BOM!$D$11:$D$410,"&lt;&gt;",BOM!$R$11:$R$410,"&lt;&gt;Cancelled")-COUNTIFS(BOM!$G$11:$G$410,$A39,BOM!$D$11:$D$410,"&lt;&gt;",BOM!$R$11:$R$410,"Not Finalized")-COUNTIFS(BOM!$G$11:$G$410,$A39,BOM!$D$11:$D$410,"&lt;&gt;",BOM!$R$11:$R$410,"")</f>
        <v>0</v>
      </c>
      <c r="D39" s="45" t="n">
        <f aca="false">IF($B39=0,0,C39/$B39)</f>
        <v>0</v>
      </c>
      <c r="E39" s="35" t="n">
        <f aca="false">COUNTIFS(BOM!$G$11:$G$410,$A39,BOM!$D$11:$D$410,"&lt;&gt;",BOM!$R$11:$R$410,"Purchased – Not Received")+COUNTIFS(BOM!$G$11:$G$410,$A39,BOM!$D$11:$D$410,"&lt;&gt;",BOM!$R$11:$R$410,"Received")+COUNTIFS(BOM!$G$11:$G$410,$A39,BOM!$D$11:$D$410,"&lt;&gt;",BOM!$R$11:$R$410,"NSW Purchased")</f>
        <v>0</v>
      </c>
      <c r="F39" s="45" t="n">
        <f aca="false">IF($B39=0,0,E39/$B39)</f>
        <v>0</v>
      </c>
      <c r="G39" s="35" t="n">
        <f aca="false">COUNTIFS(BOM!$G$11:$G$410,$A39,BOM!$D$11:$D$410,"&lt;&gt;",BOM!$R$11:$R$410,"Received")+COUNTIFS(BOM!$G$11:$G$410,$A39,BOM!$D$11:$D$410,"&lt;&gt;",BOM!$R$11:$R$410,"NSW Purchased")</f>
        <v>0</v>
      </c>
      <c r="H39" s="45" t="n">
        <f aca="false">IF($B39=0,0,G39/$B39)</f>
        <v>0</v>
      </c>
      <c r="I39" s="46" t="n">
        <f aca="false">COUNTIFS(BOM!$G$11:$G$410,$A39,BOM!$AF$11:$AF$410,"OVERDUE")</f>
        <v>0</v>
      </c>
      <c r="J39" s="35" t="n">
        <f aca="false">COUNTIFS(BOM!$G$11:$G$410,$A39,BOM!$AF$11:$AF$410,"?*")</f>
        <v>0</v>
      </c>
      <c r="K39" s="47" t="n">
        <f aca="false">SUMIFS(BOM!$AB$11:$AB$410,BOM!$G$11:$G$410,$A39,BOM!$R$11:$R$410,"&lt;&gt;Cancelled")</f>
        <v>0</v>
      </c>
    </row>
    <row r="40" customFormat="false" ht="15" hidden="false" customHeight="false" outlineLevel="0" collapsed="false">
      <c r="A40" s="35" t="str">
        <f aca="false">Lists!$C$6</f>
        <v>Std Mechanical</v>
      </c>
      <c r="B40" s="35" t="n">
        <f aca="false">COUNTIFS(BOM!$G$11:$G$410,$A40,BOM!$D$11:$D$410,"&lt;&gt;",BOM!$R$11:$R$410,"&lt;&gt;Cancelled")</f>
        <v>0</v>
      </c>
      <c r="C40" s="35" t="n">
        <f aca="false">COUNTIFS(BOM!$G$11:$G$410,$A40,BOM!$D$11:$D$410,"&lt;&gt;",BOM!$R$11:$R$410,"&lt;&gt;Cancelled")-COUNTIFS(BOM!$G$11:$G$410,$A40,BOM!$D$11:$D$410,"&lt;&gt;",BOM!$R$11:$R$410,"Not Finalized")-COUNTIFS(BOM!$G$11:$G$410,$A40,BOM!$D$11:$D$410,"&lt;&gt;",BOM!$R$11:$R$410,"")</f>
        <v>0</v>
      </c>
      <c r="D40" s="45" t="n">
        <f aca="false">IF($B40=0,0,C40/$B40)</f>
        <v>0</v>
      </c>
      <c r="E40" s="35" t="n">
        <f aca="false">COUNTIFS(BOM!$G$11:$G$410,$A40,BOM!$D$11:$D$410,"&lt;&gt;",BOM!$R$11:$R$410,"Purchased – Not Received")+COUNTIFS(BOM!$G$11:$G$410,$A40,BOM!$D$11:$D$410,"&lt;&gt;",BOM!$R$11:$R$410,"Received")+COUNTIFS(BOM!$G$11:$G$410,$A40,BOM!$D$11:$D$410,"&lt;&gt;",BOM!$R$11:$R$410,"NSW Purchased")</f>
        <v>0</v>
      </c>
      <c r="F40" s="45" t="n">
        <f aca="false">IF($B40=0,0,E40/$B40)</f>
        <v>0</v>
      </c>
      <c r="G40" s="35" t="n">
        <f aca="false">COUNTIFS(BOM!$G$11:$G$410,$A40,BOM!$D$11:$D$410,"&lt;&gt;",BOM!$R$11:$R$410,"Received")+COUNTIFS(BOM!$G$11:$G$410,$A40,BOM!$D$11:$D$410,"&lt;&gt;",BOM!$R$11:$R$410,"NSW Purchased")</f>
        <v>0</v>
      </c>
      <c r="H40" s="45" t="n">
        <f aca="false">IF($B40=0,0,G40/$B40)</f>
        <v>0</v>
      </c>
      <c r="I40" s="46" t="n">
        <f aca="false">COUNTIFS(BOM!$G$11:$G$410,$A40,BOM!$AF$11:$AF$410,"OVERDUE")</f>
        <v>0</v>
      </c>
      <c r="J40" s="35" t="n">
        <f aca="false">COUNTIFS(BOM!$G$11:$G$410,$A40,BOM!$AF$11:$AF$410,"?*")</f>
        <v>0</v>
      </c>
      <c r="K40" s="47" t="n">
        <f aca="false">SUMIFS(BOM!$AB$11:$AB$410,BOM!$G$11:$G$410,$A40,BOM!$R$11:$R$410,"&lt;&gt;Cancelled")</f>
        <v>0</v>
      </c>
    </row>
    <row r="41" customFormat="false" ht="15" hidden="false" customHeight="false" outlineLevel="0" collapsed="false">
      <c r="A41" s="35" t="str">
        <f aca="false">Lists!$C$7</f>
        <v>Pneumatic</v>
      </c>
      <c r="B41" s="35" t="n">
        <f aca="false">COUNTIFS(BOM!$G$11:$G$410,$A41,BOM!$D$11:$D$410,"&lt;&gt;",BOM!$R$11:$R$410,"&lt;&gt;Cancelled")</f>
        <v>0</v>
      </c>
      <c r="C41" s="35" t="n">
        <f aca="false">COUNTIFS(BOM!$G$11:$G$410,$A41,BOM!$D$11:$D$410,"&lt;&gt;",BOM!$R$11:$R$410,"&lt;&gt;Cancelled")-COUNTIFS(BOM!$G$11:$G$410,$A41,BOM!$D$11:$D$410,"&lt;&gt;",BOM!$R$11:$R$410,"Not Finalized")-COUNTIFS(BOM!$G$11:$G$410,$A41,BOM!$D$11:$D$410,"&lt;&gt;",BOM!$R$11:$R$410,"")</f>
        <v>0</v>
      </c>
      <c r="D41" s="45" t="n">
        <f aca="false">IF($B41=0,0,C41/$B41)</f>
        <v>0</v>
      </c>
      <c r="E41" s="35" t="n">
        <f aca="false">COUNTIFS(BOM!$G$11:$G$410,$A41,BOM!$D$11:$D$410,"&lt;&gt;",BOM!$R$11:$R$410,"Purchased – Not Received")+COUNTIFS(BOM!$G$11:$G$410,$A41,BOM!$D$11:$D$410,"&lt;&gt;",BOM!$R$11:$R$410,"Received")+COUNTIFS(BOM!$G$11:$G$410,$A41,BOM!$D$11:$D$410,"&lt;&gt;",BOM!$R$11:$R$410,"NSW Purchased")</f>
        <v>0</v>
      </c>
      <c r="F41" s="45" t="n">
        <f aca="false">IF($B41=0,0,E41/$B41)</f>
        <v>0</v>
      </c>
      <c r="G41" s="35" t="n">
        <f aca="false">COUNTIFS(BOM!$G$11:$G$410,$A41,BOM!$D$11:$D$410,"&lt;&gt;",BOM!$R$11:$R$410,"Received")+COUNTIFS(BOM!$G$11:$G$410,$A41,BOM!$D$11:$D$410,"&lt;&gt;",BOM!$R$11:$R$410,"NSW Purchased")</f>
        <v>0</v>
      </c>
      <c r="H41" s="45" t="n">
        <f aca="false">IF($B41=0,0,G41/$B41)</f>
        <v>0</v>
      </c>
      <c r="I41" s="46" t="n">
        <f aca="false">COUNTIFS(BOM!$G$11:$G$410,$A41,BOM!$AF$11:$AF$410,"OVERDUE")</f>
        <v>0</v>
      </c>
      <c r="J41" s="35" t="n">
        <f aca="false">COUNTIFS(BOM!$G$11:$G$410,$A41,BOM!$AF$11:$AF$410,"?*")</f>
        <v>0</v>
      </c>
      <c r="K41" s="47" t="n">
        <f aca="false">SUMIFS(BOM!$AB$11:$AB$410,BOM!$G$11:$G$410,$A41,BOM!$R$11:$R$410,"&lt;&gt;Cancelled")</f>
        <v>0</v>
      </c>
    </row>
    <row r="42" customFormat="false" ht="15" hidden="false" customHeight="false" outlineLevel="0" collapsed="false">
      <c r="A42" s="35" t="str">
        <f aca="false">Lists!$C$8</f>
        <v>Vacuum</v>
      </c>
      <c r="B42" s="35" t="n">
        <f aca="false">COUNTIFS(BOM!$G$11:$G$410,$A42,BOM!$D$11:$D$410,"&lt;&gt;",BOM!$R$11:$R$410,"&lt;&gt;Cancelled")</f>
        <v>0</v>
      </c>
      <c r="C42" s="35" t="n">
        <f aca="false">COUNTIFS(BOM!$G$11:$G$410,$A42,BOM!$D$11:$D$410,"&lt;&gt;",BOM!$R$11:$R$410,"&lt;&gt;Cancelled")-COUNTIFS(BOM!$G$11:$G$410,$A42,BOM!$D$11:$D$410,"&lt;&gt;",BOM!$R$11:$R$410,"Not Finalized")-COUNTIFS(BOM!$G$11:$G$410,$A42,BOM!$D$11:$D$410,"&lt;&gt;",BOM!$R$11:$R$410,"")</f>
        <v>0</v>
      </c>
      <c r="D42" s="45" t="n">
        <f aca="false">IF($B42=0,0,C42/$B42)</f>
        <v>0</v>
      </c>
      <c r="E42" s="35" t="n">
        <f aca="false">COUNTIFS(BOM!$G$11:$G$410,$A42,BOM!$D$11:$D$410,"&lt;&gt;",BOM!$R$11:$R$410,"Purchased – Not Received")+COUNTIFS(BOM!$G$11:$G$410,$A42,BOM!$D$11:$D$410,"&lt;&gt;",BOM!$R$11:$R$410,"Received")+COUNTIFS(BOM!$G$11:$G$410,$A42,BOM!$D$11:$D$410,"&lt;&gt;",BOM!$R$11:$R$410,"NSW Purchased")</f>
        <v>0</v>
      </c>
      <c r="F42" s="45" t="n">
        <f aca="false">IF($B42=0,0,E42/$B42)</f>
        <v>0</v>
      </c>
      <c r="G42" s="35" t="n">
        <f aca="false">COUNTIFS(BOM!$G$11:$G$410,$A42,BOM!$D$11:$D$410,"&lt;&gt;",BOM!$R$11:$R$410,"Received")+COUNTIFS(BOM!$G$11:$G$410,$A42,BOM!$D$11:$D$410,"&lt;&gt;",BOM!$R$11:$R$410,"NSW Purchased")</f>
        <v>0</v>
      </c>
      <c r="H42" s="45" t="n">
        <f aca="false">IF($B42=0,0,G42/$B42)</f>
        <v>0</v>
      </c>
      <c r="I42" s="46" t="n">
        <f aca="false">COUNTIFS(BOM!$G$11:$G$410,$A42,BOM!$AF$11:$AF$410,"OVERDUE")</f>
        <v>0</v>
      </c>
      <c r="J42" s="35" t="n">
        <f aca="false">COUNTIFS(BOM!$G$11:$G$410,$A42,BOM!$AF$11:$AF$410,"?*")</f>
        <v>0</v>
      </c>
      <c r="K42" s="47" t="n">
        <f aca="false">SUMIFS(BOM!$AB$11:$AB$410,BOM!$G$11:$G$410,$A42,BOM!$R$11:$R$410,"&lt;&gt;Cancelled")</f>
        <v>0</v>
      </c>
    </row>
    <row r="43" customFormat="false" ht="15" hidden="false" customHeight="false" outlineLevel="0" collapsed="false">
      <c r="A43" s="35" t="str">
        <f aca="false">Lists!$C$9</f>
        <v>Motion / Actuator</v>
      </c>
      <c r="B43" s="35" t="n">
        <f aca="false">COUNTIFS(BOM!$G$11:$G$410,$A43,BOM!$D$11:$D$410,"&lt;&gt;",BOM!$R$11:$R$410,"&lt;&gt;Cancelled")</f>
        <v>0</v>
      </c>
      <c r="C43" s="35" t="n">
        <f aca="false">COUNTIFS(BOM!$G$11:$G$410,$A43,BOM!$D$11:$D$410,"&lt;&gt;",BOM!$R$11:$R$410,"&lt;&gt;Cancelled")-COUNTIFS(BOM!$G$11:$G$410,$A43,BOM!$D$11:$D$410,"&lt;&gt;",BOM!$R$11:$R$410,"Not Finalized")-COUNTIFS(BOM!$G$11:$G$410,$A43,BOM!$D$11:$D$410,"&lt;&gt;",BOM!$R$11:$R$410,"")</f>
        <v>0</v>
      </c>
      <c r="D43" s="45" t="n">
        <f aca="false">IF($B43=0,0,C43/$B43)</f>
        <v>0</v>
      </c>
      <c r="E43" s="35" t="n">
        <f aca="false">COUNTIFS(BOM!$G$11:$G$410,$A43,BOM!$D$11:$D$410,"&lt;&gt;",BOM!$R$11:$R$410,"Purchased – Not Received")+COUNTIFS(BOM!$G$11:$G$410,$A43,BOM!$D$11:$D$410,"&lt;&gt;",BOM!$R$11:$R$410,"Received")+COUNTIFS(BOM!$G$11:$G$410,$A43,BOM!$D$11:$D$410,"&lt;&gt;",BOM!$R$11:$R$410,"NSW Purchased")</f>
        <v>0</v>
      </c>
      <c r="F43" s="45" t="n">
        <f aca="false">IF($B43=0,0,E43/$B43)</f>
        <v>0</v>
      </c>
      <c r="G43" s="35" t="n">
        <f aca="false">COUNTIFS(BOM!$G$11:$G$410,$A43,BOM!$D$11:$D$410,"&lt;&gt;",BOM!$R$11:$R$410,"Received")+COUNTIFS(BOM!$G$11:$G$410,$A43,BOM!$D$11:$D$410,"&lt;&gt;",BOM!$R$11:$R$410,"NSW Purchased")</f>
        <v>0</v>
      </c>
      <c r="H43" s="45" t="n">
        <f aca="false">IF($B43=0,0,G43/$B43)</f>
        <v>0</v>
      </c>
      <c r="I43" s="46" t="n">
        <f aca="false">COUNTIFS(BOM!$G$11:$G$410,$A43,BOM!$AF$11:$AF$410,"OVERDUE")</f>
        <v>0</v>
      </c>
      <c r="J43" s="35" t="n">
        <f aca="false">COUNTIFS(BOM!$G$11:$G$410,$A43,BOM!$AF$11:$AF$410,"?*")</f>
        <v>0</v>
      </c>
      <c r="K43" s="47" t="n">
        <f aca="false">SUMIFS(BOM!$AB$11:$AB$410,BOM!$G$11:$G$410,$A43,BOM!$R$11:$R$410,"&lt;&gt;Cancelled")</f>
        <v>0</v>
      </c>
    </row>
    <row r="44" customFormat="false" ht="15" hidden="false" customHeight="false" outlineLevel="0" collapsed="false">
      <c r="A44" s="35" t="str">
        <f aca="false">Lists!$C$10</f>
        <v>Electrical / Control</v>
      </c>
      <c r="B44" s="35" t="n">
        <f aca="false">COUNTIFS(BOM!$G$11:$G$410,$A44,BOM!$D$11:$D$410,"&lt;&gt;",BOM!$R$11:$R$410,"&lt;&gt;Cancelled")</f>
        <v>0</v>
      </c>
      <c r="C44" s="35" t="n">
        <f aca="false">COUNTIFS(BOM!$G$11:$G$410,$A44,BOM!$D$11:$D$410,"&lt;&gt;",BOM!$R$11:$R$410,"&lt;&gt;Cancelled")-COUNTIFS(BOM!$G$11:$G$410,$A44,BOM!$D$11:$D$410,"&lt;&gt;",BOM!$R$11:$R$410,"Not Finalized")-COUNTIFS(BOM!$G$11:$G$410,$A44,BOM!$D$11:$D$410,"&lt;&gt;",BOM!$R$11:$R$410,"")</f>
        <v>0</v>
      </c>
      <c r="D44" s="45" t="n">
        <f aca="false">IF($B44=0,0,C44/$B44)</f>
        <v>0</v>
      </c>
      <c r="E44" s="35" t="n">
        <f aca="false">COUNTIFS(BOM!$G$11:$G$410,$A44,BOM!$D$11:$D$410,"&lt;&gt;",BOM!$R$11:$R$410,"Purchased – Not Received")+COUNTIFS(BOM!$G$11:$G$410,$A44,BOM!$D$11:$D$410,"&lt;&gt;",BOM!$R$11:$R$410,"Received")+COUNTIFS(BOM!$G$11:$G$410,$A44,BOM!$D$11:$D$410,"&lt;&gt;",BOM!$R$11:$R$410,"NSW Purchased")</f>
        <v>0</v>
      </c>
      <c r="F44" s="45" t="n">
        <f aca="false">IF($B44=0,0,E44/$B44)</f>
        <v>0</v>
      </c>
      <c r="G44" s="35" t="n">
        <f aca="false">COUNTIFS(BOM!$G$11:$G$410,$A44,BOM!$D$11:$D$410,"&lt;&gt;",BOM!$R$11:$R$410,"Received")+COUNTIFS(BOM!$G$11:$G$410,$A44,BOM!$D$11:$D$410,"&lt;&gt;",BOM!$R$11:$R$410,"NSW Purchased")</f>
        <v>0</v>
      </c>
      <c r="H44" s="45" t="n">
        <f aca="false">IF($B44=0,0,G44/$B44)</f>
        <v>0</v>
      </c>
      <c r="I44" s="46" t="n">
        <f aca="false">COUNTIFS(BOM!$G$11:$G$410,$A44,BOM!$AF$11:$AF$410,"OVERDUE")</f>
        <v>0</v>
      </c>
      <c r="J44" s="35" t="n">
        <f aca="false">COUNTIFS(BOM!$G$11:$G$410,$A44,BOM!$AF$11:$AF$410,"?*")</f>
        <v>0</v>
      </c>
      <c r="K44" s="47" t="n">
        <f aca="false">SUMIFS(BOM!$AB$11:$AB$410,BOM!$G$11:$G$410,$A44,BOM!$R$11:$R$410,"&lt;&gt;Cancelled")</f>
        <v>0</v>
      </c>
    </row>
    <row r="45" customFormat="false" ht="15" hidden="false" customHeight="false" outlineLevel="0" collapsed="false">
      <c r="A45" s="35" t="str">
        <f aca="false">Lists!$C$11</f>
        <v>Sensor</v>
      </c>
      <c r="B45" s="35" t="n">
        <f aca="false">COUNTIFS(BOM!$G$11:$G$410,$A45,BOM!$D$11:$D$410,"&lt;&gt;",BOM!$R$11:$R$410,"&lt;&gt;Cancelled")</f>
        <v>0</v>
      </c>
      <c r="C45" s="35" t="n">
        <f aca="false">COUNTIFS(BOM!$G$11:$G$410,$A45,BOM!$D$11:$D$410,"&lt;&gt;",BOM!$R$11:$R$410,"&lt;&gt;Cancelled")-COUNTIFS(BOM!$G$11:$G$410,$A45,BOM!$D$11:$D$410,"&lt;&gt;",BOM!$R$11:$R$410,"Not Finalized")-COUNTIFS(BOM!$G$11:$G$410,$A45,BOM!$D$11:$D$410,"&lt;&gt;",BOM!$R$11:$R$410,"")</f>
        <v>0</v>
      </c>
      <c r="D45" s="45" t="n">
        <f aca="false">IF($B45=0,0,C45/$B45)</f>
        <v>0</v>
      </c>
      <c r="E45" s="35" t="n">
        <f aca="false">COUNTIFS(BOM!$G$11:$G$410,$A45,BOM!$D$11:$D$410,"&lt;&gt;",BOM!$R$11:$R$410,"Purchased – Not Received")+COUNTIFS(BOM!$G$11:$G$410,$A45,BOM!$D$11:$D$410,"&lt;&gt;",BOM!$R$11:$R$410,"Received")+COUNTIFS(BOM!$G$11:$G$410,$A45,BOM!$D$11:$D$410,"&lt;&gt;",BOM!$R$11:$R$410,"NSW Purchased")</f>
        <v>0</v>
      </c>
      <c r="F45" s="45" t="n">
        <f aca="false">IF($B45=0,0,E45/$B45)</f>
        <v>0</v>
      </c>
      <c r="G45" s="35" t="n">
        <f aca="false">COUNTIFS(BOM!$G$11:$G$410,$A45,BOM!$D$11:$D$410,"&lt;&gt;",BOM!$R$11:$R$410,"Received")+COUNTIFS(BOM!$G$11:$G$410,$A45,BOM!$D$11:$D$410,"&lt;&gt;",BOM!$R$11:$R$410,"NSW Purchased")</f>
        <v>0</v>
      </c>
      <c r="H45" s="45" t="n">
        <f aca="false">IF($B45=0,0,G45/$B45)</f>
        <v>0</v>
      </c>
      <c r="I45" s="46" t="n">
        <f aca="false">COUNTIFS(BOM!$G$11:$G$410,$A45,BOM!$AF$11:$AF$410,"OVERDUE")</f>
        <v>0</v>
      </c>
      <c r="J45" s="35" t="n">
        <f aca="false">COUNTIFS(BOM!$G$11:$G$410,$A45,BOM!$AF$11:$AF$410,"?*")</f>
        <v>0</v>
      </c>
      <c r="K45" s="47" t="n">
        <f aca="false">SUMIFS(BOM!$AB$11:$AB$410,BOM!$G$11:$G$410,$A45,BOM!$R$11:$R$410,"&lt;&gt;Cancelled")</f>
        <v>0</v>
      </c>
    </row>
    <row r="46" customFormat="false" ht="15" hidden="false" customHeight="false" outlineLevel="0" collapsed="false">
      <c r="A46" s="35" t="str">
        <f aca="false">Lists!$C$12</f>
        <v>Vision</v>
      </c>
      <c r="B46" s="35" t="n">
        <f aca="false">COUNTIFS(BOM!$G$11:$G$410,$A46,BOM!$D$11:$D$410,"&lt;&gt;",BOM!$R$11:$R$410,"&lt;&gt;Cancelled")</f>
        <v>0</v>
      </c>
      <c r="C46" s="35" t="n">
        <f aca="false">COUNTIFS(BOM!$G$11:$G$410,$A46,BOM!$D$11:$D$410,"&lt;&gt;",BOM!$R$11:$R$410,"&lt;&gt;Cancelled")-COUNTIFS(BOM!$G$11:$G$410,$A46,BOM!$D$11:$D$410,"&lt;&gt;",BOM!$R$11:$R$410,"Not Finalized")-COUNTIFS(BOM!$G$11:$G$410,$A46,BOM!$D$11:$D$410,"&lt;&gt;",BOM!$R$11:$R$410,"")</f>
        <v>0</v>
      </c>
      <c r="D46" s="45" t="n">
        <f aca="false">IF($B46=0,0,C46/$B46)</f>
        <v>0</v>
      </c>
      <c r="E46" s="35" t="n">
        <f aca="false">COUNTIFS(BOM!$G$11:$G$410,$A46,BOM!$D$11:$D$410,"&lt;&gt;",BOM!$R$11:$R$410,"Purchased – Not Received")+COUNTIFS(BOM!$G$11:$G$410,$A46,BOM!$D$11:$D$410,"&lt;&gt;",BOM!$R$11:$R$410,"Received")+COUNTIFS(BOM!$G$11:$G$410,$A46,BOM!$D$11:$D$410,"&lt;&gt;",BOM!$R$11:$R$410,"NSW Purchased")</f>
        <v>0</v>
      </c>
      <c r="F46" s="45" t="n">
        <f aca="false">IF($B46=0,0,E46/$B46)</f>
        <v>0</v>
      </c>
      <c r="G46" s="35" t="n">
        <f aca="false">COUNTIFS(BOM!$G$11:$G$410,$A46,BOM!$D$11:$D$410,"&lt;&gt;",BOM!$R$11:$R$410,"Received")+COUNTIFS(BOM!$G$11:$G$410,$A46,BOM!$D$11:$D$410,"&lt;&gt;",BOM!$R$11:$R$410,"NSW Purchased")</f>
        <v>0</v>
      </c>
      <c r="H46" s="45" t="n">
        <f aca="false">IF($B46=0,0,G46/$B46)</f>
        <v>0</v>
      </c>
      <c r="I46" s="46" t="n">
        <f aca="false">COUNTIFS(BOM!$G$11:$G$410,$A46,BOM!$AF$11:$AF$410,"OVERDUE")</f>
        <v>0</v>
      </c>
      <c r="J46" s="35" t="n">
        <f aca="false">COUNTIFS(BOM!$G$11:$G$410,$A46,BOM!$AF$11:$AF$410,"?*")</f>
        <v>0</v>
      </c>
      <c r="K46" s="47" t="n">
        <f aca="false">SUMIFS(BOM!$AB$11:$AB$410,BOM!$G$11:$G$410,$A46,BOM!$R$11:$R$410,"&lt;&gt;Cancelled")</f>
        <v>0</v>
      </c>
    </row>
    <row r="47" customFormat="false" ht="15" hidden="false" customHeight="false" outlineLevel="0" collapsed="false">
      <c r="A47" s="35" t="str">
        <f aca="false">Lists!$C$13</f>
        <v>Safety</v>
      </c>
      <c r="B47" s="35" t="n">
        <f aca="false">COUNTIFS(BOM!$G$11:$G$410,$A47,BOM!$D$11:$D$410,"&lt;&gt;",BOM!$R$11:$R$410,"&lt;&gt;Cancelled")</f>
        <v>0</v>
      </c>
      <c r="C47" s="35" t="n">
        <f aca="false">COUNTIFS(BOM!$G$11:$G$410,$A47,BOM!$D$11:$D$410,"&lt;&gt;",BOM!$R$11:$R$410,"&lt;&gt;Cancelled")-COUNTIFS(BOM!$G$11:$G$410,$A47,BOM!$D$11:$D$410,"&lt;&gt;",BOM!$R$11:$R$410,"Not Finalized")-COUNTIFS(BOM!$G$11:$G$410,$A47,BOM!$D$11:$D$410,"&lt;&gt;",BOM!$R$11:$R$410,"")</f>
        <v>0</v>
      </c>
      <c r="D47" s="45" t="n">
        <f aca="false">IF($B47=0,0,C47/$B47)</f>
        <v>0</v>
      </c>
      <c r="E47" s="35" t="n">
        <f aca="false">COUNTIFS(BOM!$G$11:$G$410,$A47,BOM!$D$11:$D$410,"&lt;&gt;",BOM!$R$11:$R$410,"Purchased – Not Received")+COUNTIFS(BOM!$G$11:$G$410,$A47,BOM!$D$11:$D$410,"&lt;&gt;",BOM!$R$11:$R$410,"Received")+COUNTIFS(BOM!$G$11:$G$410,$A47,BOM!$D$11:$D$410,"&lt;&gt;",BOM!$R$11:$R$410,"NSW Purchased")</f>
        <v>0</v>
      </c>
      <c r="F47" s="45" t="n">
        <f aca="false">IF($B47=0,0,E47/$B47)</f>
        <v>0</v>
      </c>
      <c r="G47" s="35" t="n">
        <f aca="false">COUNTIFS(BOM!$G$11:$G$410,$A47,BOM!$D$11:$D$410,"&lt;&gt;",BOM!$R$11:$R$410,"Received")+COUNTIFS(BOM!$G$11:$G$410,$A47,BOM!$D$11:$D$410,"&lt;&gt;",BOM!$R$11:$R$410,"NSW Purchased")</f>
        <v>0</v>
      </c>
      <c r="H47" s="45" t="n">
        <f aca="false">IF($B47=0,0,G47/$B47)</f>
        <v>0</v>
      </c>
      <c r="I47" s="46" t="n">
        <f aca="false">COUNTIFS(BOM!$G$11:$G$410,$A47,BOM!$AF$11:$AF$410,"OVERDUE")</f>
        <v>0</v>
      </c>
      <c r="J47" s="35" t="n">
        <f aca="false">COUNTIFS(BOM!$G$11:$G$410,$A47,BOM!$AF$11:$AF$410,"?*")</f>
        <v>0</v>
      </c>
      <c r="K47" s="47" t="n">
        <f aca="false">SUMIFS(BOM!$AB$11:$AB$410,BOM!$G$11:$G$410,$A47,BOM!$R$11:$R$410,"&lt;&gt;Cancelled")</f>
        <v>0</v>
      </c>
    </row>
    <row r="48" customFormat="false" ht="15" hidden="false" customHeight="false" outlineLevel="0" collapsed="false">
      <c r="A48" s="35" t="str">
        <f aca="false">Lists!$C$14</f>
        <v>Consumable / Others</v>
      </c>
      <c r="B48" s="35" t="n">
        <f aca="false">COUNTIFS(BOM!$G$11:$G$410,$A48,BOM!$D$11:$D$410,"&lt;&gt;",BOM!$R$11:$R$410,"&lt;&gt;Cancelled")</f>
        <v>0</v>
      </c>
      <c r="C48" s="35" t="n">
        <f aca="false">COUNTIFS(BOM!$G$11:$G$410,$A48,BOM!$D$11:$D$410,"&lt;&gt;",BOM!$R$11:$R$410,"&lt;&gt;Cancelled")-COUNTIFS(BOM!$G$11:$G$410,$A48,BOM!$D$11:$D$410,"&lt;&gt;",BOM!$R$11:$R$410,"Not Finalized")-COUNTIFS(BOM!$G$11:$G$410,$A48,BOM!$D$11:$D$410,"&lt;&gt;",BOM!$R$11:$R$410,"")</f>
        <v>0</v>
      </c>
      <c r="D48" s="45" t="n">
        <f aca="false">IF($B48=0,0,C48/$B48)</f>
        <v>0</v>
      </c>
      <c r="E48" s="35" t="n">
        <f aca="false">COUNTIFS(BOM!$G$11:$G$410,$A48,BOM!$D$11:$D$410,"&lt;&gt;",BOM!$R$11:$R$410,"Purchased – Not Received")+COUNTIFS(BOM!$G$11:$G$410,$A48,BOM!$D$11:$D$410,"&lt;&gt;",BOM!$R$11:$R$410,"Received")+COUNTIFS(BOM!$G$11:$G$410,$A48,BOM!$D$11:$D$410,"&lt;&gt;",BOM!$R$11:$R$410,"NSW Purchased")</f>
        <v>0</v>
      </c>
      <c r="F48" s="45" t="n">
        <f aca="false">IF($B48=0,0,E48/$B48)</f>
        <v>0</v>
      </c>
      <c r="G48" s="35" t="n">
        <f aca="false">COUNTIFS(BOM!$G$11:$G$410,$A48,BOM!$D$11:$D$410,"&lt;&gt;",BOM!$R$11:$R$410,"Received")+COUNTIFS(BOM!$G$11:$G$410,$A48,BOM!$D$11:$D$410,"&lt;&gt;",BOM!$R$11:$R$410,"NSW Purchased")</f>
        <v>0</v>
      </c>
      <c r="H48" s="45" t="n">
        <f aca="false">IF($B48=0,0,G48/$B48)</f>
        <v>0</v>
      </c>
      <c r="I48" s="46" t="n">
        <f aca="false">COUNTIFS(BOM!$G$11:$G$410,$A48,BOM!$AF$11:$AF$410,"OVERDUE")</f>
        <v>0</v>
      </c>
      <c r="J48" s="35" t="n">
        <f aca="false">COUNTIFS(BOM!$G$11:$G$410,$A48,BOM!$AF$11:$AF$410,"?*")</f>
        <v>0</v>
      </c>
      <c r="K48" s="47" t="n">
        <f aca="false">SUMIFS(BOM!$AB$11:$AB$410,BOM!$G$11:$G$410,$A48,BOM!$R$11:$R$410,"&lt;&gt;Cancelled")</f>
        <v>0</v>
      </c>
    </row>
    <row r="49" customFormat="false" ht="15" hidden="false" customHeight="false" outlineLevel="0" collapsed="false">
      <c r="A49" s="48" t="s">
        <v>135</v>
      </c>
      <c r="B49" s="48" t="n">
        <f aca="false">SUM(B39:B48)</f>
        <v>0</v>
      </c>
      <c r="C49" s="48" t="n">
        <f aca="false">SUM(C39:C48)</f>
        <v>0</v>
      </c>
      <c r="D49" s="49" t="n">
        <f aca="false">IF($B49=0,0,C49/$B49)</f>
        <v>0</v>
      </c>
      <c r="E49" s="48" t="n">
        <f aca="false">SUM(E39:E48)</f>
        <v>0</v>
      </c>
      <c r="F49" s="49" t="n">
        <f aca="false">IF($B49=0,0,E49/$B49)</f>
        <v>0</v>
      </c>
      <c r="G49" s="48" t="n">
        <f aca="false">SUM(G39:G48)</f>
        <v>0</v>
      </c>
      <c r="H49" s="49" t="n">
        <f aca="false">IF($B49=0,0,G49/$B49)</f>
        <v>0</v>
      </c>
      <c r="I49" s="50" t="n">
        <f aca="false">SUM(I39:I48)</f>
        <v>0</v>
      </c>
      <c r="J49" s="48" t="n">
        <f aca="false">SUM(J39:J48)</f>
        <v>0</v>
      </c>
      <c r="K49" s="51" t="n">
        <f aca="false">SUM(K39:K48)</f>
        <v>0</v>
      </c>
    </row>
  </sheetData>
  <conditionalFormatting sqref="D11:D25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{EF9029F5-EF99-4A25-BC6A-1C48B700D14F}</x14:id>
        </ext>
      </extLst>
    </cfRule>
  </conditionalFormatting>
  <conditionalFormatting sqref="F11:F25">
    <cfRule type="dataBar" priority="3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{D9B939D1-8F80-4818-9E30-EFBD8AF31BB2}</x14:id>
        </ext>
      </extLst>
    </cfRule>
  </conditionalFormatting>
  <conditionalFormatting sqref="H11:H25">
    <cfRule type="dataBar" priority="4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{E3FBD384-C9F9-4B73-9A64-42FBD1F93253}</x14:id>
        </ext>
      </extLst>
    </cfRule>
  </conditionalFormatting>
  <conditionalFormatting sqref="I11:I26">
    <cfRule type="cellIs" priority="5" operator="greaterThan" aboveAverage="0" equalAverage="0" bottom="0" percent="0" rank="0" text="" dxfId="14">
      <formula>0</formula>
    </cfRule>
  </conditionalFormatting>
  <conditionalFormatting sqref="D30:D34">
    <cfRule type="dataBar" priority="6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{6B7879B6-5CA0-4F70-A440-AE7AB1D35E92}</x14:id>
        </ext>
      </extLst>
    </cfRule>
  </conditionalFormatting>
  <conditionalFormatting sqref="F30:F34">
    <cfRule type="dataBar" priority="7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{2CA9235B-E1B8-4CD0-965E-7D9085FEE418}</x14:id>
        </ext>
      </extLst>
    </cfRule>
  </conditionalFormatting>
  <conditionalFormatting sqref="H30:H34">
    <cfRule type="dataBar" priority="8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{5252C3E0-B839-4041-8370-6510CB4120FA}</x14:id>
        </ext>
      </extLst>
    </cfRule>
  </conditionalFormatting>
  <conditionalFormatting sqref="I30:I35">
    <cfRule type="cellIs" priority="9" operator="greaterThan" aboveAverage="0" equalAverage="0" bottom="0" percent="0" rank="0" text="" dxfId="14">
      <formula>0</formula>
    </cfRule>
  </conditionalFormatting>
  <conditionalFormatting sqref="D39:D48">
    <cfRule type="dataBar" priority="10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{A86DB994-E879-40EA-9CFF-22935F7DDD1F}</x14:id>
        </ext>
      </extLst>
    </cfRule>
  </conditionalFormatting>
  <conditionalFormatting sqref="F39:F48">
    <cfRule type="dataBar" priority="11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{ED93AB6C-E77C-44E6-885E-63C4D3E12BDD}</x14:id>
        </ext>
      </extLst>
    </cfRule>
  </conditionalFormatting>
  <conditionalFormatting sqref="H39:H48">
    <cfRule type="dataBar" priority="1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{16431B3C-2E55-4B6D-BDD6-9D1D94FF00B4}</x14:id>
        </ext>
      </extLst>
    </cfRule>
  </conditionalFormatting>
  <conditionalFormatting sqref="I39:I49">
    <cfRule type="cellIs" priority="13" operator="greaterThan" aboveAverage="0" equalAverage="0" bottom="0" percent="0" rank="0" text="" dxfId="1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9029F5-EF99-4A25-BC6A-1C48B700D14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D11:D25</xm:sqref>
        </x14:conditionalFormatting>
        <x14:conditionalFormatting xmlns:xm="http://schemas.microsoft.com/office/excel/2006/main">
          <x14:cfRule type="dataBar" id="{D9B939D1-8F80-4818-9E30-EFBD8AF31BB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F11:F25</xm:sqref>
        </x14:conditionalFormatting>
        <x14:conditionalFormatting xmlns:xm="http://schemas.microsoft.com/office/excel/2006/main">
          <x14:cfRule type="dataBar" id="{E3FBD384-C9F9-4B73-9A64-42FBD1F9325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H11:H25</xm:sqref>
        </x14:conditionalFormatting>
        <x14:conditionalFormatting xmlns:xm="http://schemas.microsoft.com/office/excel/2006/main">
          <x14:cfRule type="dataBar" id="{6B7879B6-5CA0-4F70-A440-AE7AB1D35E9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D30:D34</xm:sqref>
        </x14:conditionalFormatting>
        <x14:conditionalFormatting xmlns:xm="http://schemas.microsoft.com/office/excel/2006/main">
          <x14:cfRule type="dataBar" id="{2CA9235B-E1B8-4CD0-965E-7D9085FEE41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F30:F34</xm:sqref>
        </x14:conditionalFormatting>
        <x14:conditionalFormatting xmlns:xm="http://schemas.microsoft.com/office/excel/2006/main">
          <x14:cfRule type="dataBar" id="{5252C3E0-B839-4041-8370-6510CB4120FA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H30:H34</xm:sqref>
        </x14:conditionalFormatting>
        <x14:conditionalFormatting xmlns:xm="http://schemas.microsoft.com/office/excel/2006/main">
          <x14:cfRule type="dataBar" id="{A86DB994-E879-40EA-9CFF-22935F7DDD1F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D39:D48</xm:sqref>
        </x14:conditionalFormatting>
        <x14:conditionalFormatting xmlns:xm="http://schemas.microsoft.com/office/excel/2006/main">
          <x14:cfRule type="dataBar" id="{ED93AB6C-E77C-44E6-885E-63C4D3E12BD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F39:F48</xm:sqref>
        </x14:conditionalFormatting>
        <x14:conditionalFormatting xmlns:xm="http://schemas.microsoft.com/office/excel/2006/main">
          <x14:cfRule type="dataBar" id="{16431B3C-2E55-4B6D-BDD6-9D1D94FF00B4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H39:H48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7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23.85" hidden="false" customHeight="false" outlineLevel="0" collapsed="false">
      <c r="A4" s="44" t="s">
        <v>51</v>
      </c>
      <c r="B4" s="44" t="s">
        <v>52</v>
      </c>
      <c r="C4" s="44" t="s">
        <v>53</v>
      </c>
      <c r="D4" s="44" t="s">
        <v>54</v>
      </c>
      <c r="E4" s="44" t="s">
        <v>55</v>
      </c>
      <c r="F4" s="44" t="s">
        <v>56</v>
      </c>
      <c r="G4" s="44" t="s">
        <v>60</v>
      </c>
      <c r="H4" s="44" t="s">
        <v>61</v>
      </c>
      <c r="I4" s="44" t="s">
        <v>63</v>
      </c>
      <c r="J4" s="44" t="s">
        <v>68</v>
      </c>
      <c r="K4" s="44" t="s">
        <v>73</v>
      </c>
    </row>
    <row r="5" customFormat="false" ht="15" hidden="false" customHeight="false" outlineLevel="0" collapsed="false">
      <c r="A5" s="5" t="str">
        <f aca="false">IF(OR(BOM!$D11="",BOM!$R11="Cancelled"),"",IF(BOM!A11="","",BOM!A11))</f>
        <v/>
      </c>
      <c r="B5" s="5" t="str">
        <f aca="false">IF(OR(BOM!$D11="",BOM!$R11="Cancelled"),"",IF(BOM!B11="","",BOM!B11))</f>
        <v/>
      </c>
      <c r="C5" s="5" t="str">
        <f aca="false">IF(OR(BOM!$D11="",BOM!$R11="Cancelled"),"",IF(BOM!C11="","",BOM!C11))</f>
        <v/>
      </c>
      <c r="D5" s="5" t="str">
        <f aca="false">IF(OR(BOM!$D11="",BOM!$R11="Cancelled"),"",IF(BOM!D11="","",BOM!D11))</f>
        <v/>
      </c>
      <c r="E5" s="5" t="str">
        <f aca="false">IF(OR(BOM!$D11="",BOM!$R11="Cancelled"),"",IF(BOM!E11="","",BOM!E11))</f>
        <v/>
      </c>
      <c r="F5" s="5" t="str">
        <f aca="false">IF(OR(BOM!$D11="",BOM!$R11="Cancelled"),"",IF(BOM!F11="","",BOM!F11))</f>
        <v/>
      </c>
      <c r="G5" s="5" t="str">
        <f aca="false">IF(OR(BOM!$D11="",BOM!$R11="Cancelled"),"",IF(BOM!J11="","",BOM!J11))</f>
        <v/>
      </c>
      <c r="H5" s="5" t="str">
        <f aca="false">IF(OR(BOM!$D11="",BOM!$R11="Cancelled"),"",IF(BOM!K11="","",BOM!K11))</f>
        <v/>
      </c>
      <c r="I5" s="5" t="str">
        <f aca="false">IF(OR(BOM!$D11="",BOM!$R11="Cancelled"),"",IF(BOM!M11="","",BOM!M11))</f>
        <v/>
      </c>
      <c r="J5" s="5" t="str">
        <f aca="false">IF(OR(BOM!$D11="",BOM!$R11="Cancelled"),"",IF(OR(BOM!R11="Received",BOM!R11="NSW Purchased"),"Received",IF(BOM!R11="Purchased – Not Received","Ordered",IF(BOM!R11="Finalized – Not Purchased","Design Released","In Design"))))</f>
        <v/>
      </c>
      <c r="K5" s="52" t="str">
        <f aca="false">IF(OR(BOM!$D11="",BOM!$R11="Cancelled"),"",IF(BOM!W11="","",BOM!W11))</f>
        <v/>
      </c>
    </row>
    <row r="6" customFormat="false" ht="15" hidden="false" customHeight="false" outlineLevel="0" collapsed="false">
      <c r="A6" s="5" t="str">
        <f aca="false">IF(OR(BOM!$D12="",BOM!$R12="Cancelled"),"",IF(BOM!A12="","",BOM!A12))</f>
        <v/>
      </c>
      <c r="B6" s="5" t="str">
        <f aca="false">IF(OR(BOM!$D12="",BOM!$R12="Cancelled"),"",IF(BOM!B12="","",BOM!B12))</f>
        <v/>
      </c>
      <c r="C6" s="5" t="str">
        <f aca="false">IF(OR(BOM!$D12="",BOM!$R12="Cancelled"),"",IF(BOM!C12="","",BOM!C12))</f>
        <v/>
      </c>
      <c r="D6" s="5" t="str">
        <f aca="false">IF(OR(BOM!$D12="",BOM!$R12="Cancelled"),"",IF(BOM!D12="","",BOM!D12))</f>
        <v/>
      </c>
      <c r="E6" s="5" t="str">
        <f aca="false">IF(OR(BOM!$D12="",BOM!$R12="Cancelled"),"",IF(BOM!E12="","",BOM!E12))</f>
        <v/>
      </c>
      <c r="F6" s="5" t="str">
        <f aca="false">IF(OR(BOM!$D12="",BOM!$R12="Cancelled"),"",IF(BOM!F12="","",BOM!F12))</f>
        <v/>
      </c>
      <c r="G6" s="5" t="str">
        <f aca="false">IF(OR(BOM!$D12="",BOM!$R12="Cancelled"),"",IF(BOM!J12="","",BOM!J12))</f>
        <v/>
      </c>
      <c r="H6" s="5" t="str">
        <f aca="false">IF(OR(BOM!$D12="",BOM!$R12="Cancelled"),"",IF(BOM!K12="","",BOM!K12))</f>
        <v/>
      </c>
      <c r="I6" s="5" t="str">
        <f aca="false">IF(OR(BOM!$D12="",BOM!$R12="Cancelled"),"",IF(BOM!M12="","",BOM!M12))</f>
        <v/>
      </c>
      <c r="J6" s="5" t="str">
        <f aca="false">IF(OR(BOM!$D12="",BOM!$R12="Cancelled"),"",IF(OR(BOM!R12="Received",BOM!R12="NSW Purchased"),"Received",IF(BOM!R12="Purchased – Not Received","Ordered",IF(BOM!R12="Finalized – Not Purchased","Design Released","In Design"))))</f>
        <v/>
      </c>
      <c r="K6" s="52" t="str">
        <f aca="false">IF(OR(BOM!$D12="",BOM!$R12="Cancelled"),"",IF(BOM!W12="","",BOM!W12))</f>
        <v/>
      </c>
    </row>
    <row r="7" customFormat="false" ht="15" hidden="false" customHeight="false" outlineLevel="0" collapsed="false">
      <c r="A7" s="5" t="str">
        <f aca="false">IF(OR(BOM!$D13="",BOM!$R13="Cancelled"),"",IF(BOM!A13="","",BOM!A13))</f>
        <v/>
      </c>
      <c r="B7" s="5" t="str">
        <f aca="false">IF(OR(BOM!$D13="",BOM!$R13="Cancelled"),"",IF(BOM!B13="","",BOM!B13))</f>
        <v/>
      </c>
      <c r="C7" s="5" t="str">
        <f aca="false">IF(OR(BOM!$D13="",BOM!$R13="Cancelled"),"",IF(BOM!C13="","",BOM!C13))</f>
        <v/>
      </c>
      <c r="D7" s="5" t="str">
        <f aca="false">IF(OR(BOM!$D13="",BOM!$R13="Cancelled"),"",IF(BOM!D13="","",BOM!D13))</f>
        <v/>
      </c>
      <c r="E7" s="5" t="str">
        <f aca="false">IF(OR(BOM!$D13="",BOM!$R13="Cancelled"),"",IF(BOM!E13="","",BOM!E13))</f>
        <v/>
      </c>
      <c r="F7" s="5" t="str">
        <f aca="false">IF(OR(BOM!$D13="",BOM!$R13="Cancelled"),"",IF(BOM!F13="","",BOM!F13))</f>
        <v/>
      </c>
      <c r="G7" s="5" t="str">
        <f aca="false">IF(OR(BOM!$D13="",BOM!$R13="Cancelled"),"",IF(BOM!J13="","",BOM!J13))</f>
        <v/>
      </c>
      <c r="H7" s="5" t="str">
        <f aca="false">IF(OR(BOM!$D13="",BOM!$R13="Cancelled"),"",IF(BOM!K13="","",BOM!K13))</f>
        <v/>
      </c>
      <c r="I7" s="5" t="str">
        <f aca="false">IF(OR(BOM!$D13="",BOM!$R13="Cancelled"),"",IF(BOM!M13="","",BOM!M13))</f>
        <v/>
      </c>
      <c r="J7" s="5" t="str">
        <f aca="false">IF(OR(BOM!$D13="",BOM!$R13="Cancelled"),"",IF(OR(BOM!R13="Received",BOM!R13="NSW Purchased"),"Received",IF(BOM!R13="Purchased – Not Received","Ordered",IF(BOM!R13="Finalized – Not Purchased","Design Released","In Design"))))</f>
        <v/>
      </c>
      <c r="K7" s="52" t="str">
        <f aca="false">IF(OR(BOM!$D13="",BOM!$R13="Cancelled"),"",IF(BOM!W13="","",BOM!W13))</f>
        <v/>
      </c>
    </row>
    <row r="8" customFormat="false" ht="15" hidden="false" customHeight="false" outlineLevel="0" collapsed="false">
      <c r="A8" s="5" t="str">
        <f aca="false">IF(OR(BOM!$D14="",BOM!$R14="Cancelled"),"",IF(BOM!A14="","",BOM!A14))</f>
        <v/>
      </c>
      <c r="B8" s="5" t="str">
        <f aca="false">IF(OR(BOM!$D14="",BOM!$R14="Cancelled"),"",IF(BOM!B14="","",BOM!B14))</f>
        <v/>
      </c>
      <c r="C8" s="5" t="str">
        <f aca="false">IF(OR(BOM!$D14="",BOM!$R14="Cancelled"),"",IF(BOM!C14="","",BOM!C14))</f>
        <v/>
      </c>
      <c r="D8" s="5" t="str">
        <f aca="false">IF(OR(BOM!$D14="",BOM!$R14="Cancelled"),"",IF(BOM!D14="","",BOM!D14))</f>
        <v/>
      </c>
      <c r="E8" s="5" t="str">
        <f aca="false">IF(OR(BOM!$D14="",BOM!$R14="Cancelled"),"",IF(BOM!E14="","",BOM!E14))</f>
        <v/>
      </c>
      <c r="F8" s="5" t="str">
        <f aca="false">IF(OR(BOM!$D14="",BOM!$R14="Cancelled"),"",IF(BOM!F14="","",BOM!F14))</f>
        <v/>
      </c>
      <c r="G8" s="5" t="str">
        <f aca="false">IF(OR(BOM!$D14="",BOM!$R14="Cancelled"),"",IF(BOM!J14="","",BOM!J14))</f>
        <v/>
      </c>
      <c r="H8" s="5" t="str">
        <f aca="false">IF(OR(BOM!$D14="",BOM!$R14="Cancelled"),"",IF(BOM!K14="","",BOM!K14))</f>
        <v/>
      </c>
      <c r="I8" s="5" t="str">
        <f aca="false">IF(OR(BOM!$D14="",BOM!$R14="Cancelled"),"",IF(BOM!M14="","",BOM!M14))</f>
        <v/>
      </c>
      <c r="J8" s="5" t="str">
        <f aca="false">IF(OR(BOM!$D14="",BOM!$R14="Cancelled"),"",IF(OR(BOM!R14="Received",BOM!R14="NSW Purchased"),"Received",IF(BOM!R14="Purchased – Not Received","Ordered",IF(BOM!R14="Finalized – Not Purchased","Design Released","In Design"))))</f>
        <v/>
      </c>
      <c r="K8" s="52" t="str">
        <f aca="false">IF(OR(BOM!$D14="",BOM!$R14="Cancelled"),"",IF(BOM!W14="","",BOM!W14))</f>
        <v/>
      </c>
    </row>
    <row r="9" customFormat="false" ht="15" hidden="false" customHeight="false" outlineLevel="0" collapsed="false">
      <c r="A9" s="5" t="str">
        <f aca="false">IF(OR(BOM!$D15="",BOM!$R15="Cancelled"),"",IF(BOM!A15="","",BOM!A15))</f>
        <v/>
      </c>
      <c r="B9" s="5" t="str">
        <f aca="false">IF(OR(BOM!$D15="",BOM!$R15="Cancelled"),"",IF(BOM!B15="","",BOM!B15))</f>
        <v/>
      </c>
      <c r="C9" s="5" t="str">
        <f aca="false">IF(OR(BOM!$D15="",BOM!$R15="Cancelled"),"",IF(BOM!C15="","",BOM!C15))</f>
        <v/>
      </c>
      <c r="D9" s="5" t="str">
        <f aca="false">IF(OR(BOM!$D15="",BOM!$R15="Cancelled"),"",IF(BOM!D15="","",BOM!D15))</f>
        <v/>
      </c>
      <c r="E9" s="5" t="str">
        <f aca="false">IF(OR(BOM!$D15="",BOM!$R15="Cancelled"),"",IF(BOM!E15="","",BOM!E15))</f>
        <v/>
      </c>
      <c r="F9" s="5" t="str">
        <f aca="false">IF(OR(BOM!$D15="",BOM!$R15="Cancelled"),"",IF(BOM!F15="","",BOM!F15))</f>
        <v/>
      </c>
      <c r="G9" s="5" t="str">
        <f aca="false">IF(OR(BOM!$D15="",BOM!$R15="Cancelled"),"",IF(BOM!J15="","",BOM!J15))</f>
        <v/>
      </c>
      <c r="H9" s="5" t="str">
        <f aca="false">IF(OR(BOM!$D15="",BOM!$R15="Cancelled"),"",IF(BOM!K15="","",BOM!K15))</f>
        <v/>
      </c>
      <c r="I9" s="5" t="str">
        <f aca="false">IF(OR(BOM!$D15="",BOM!$R15="Cancelled"),"",IF(BOM!M15="","",BOM!M15))</f>
        <v/>
      </c>
      <c r="J9" s="5" t="str">
        <f aca="false">IF(OR(BOM!$D15="",BOM!$R15="Cancelled"),"",IF(OR(BOM!R15="Received",BOM!R15="NSW Purchased"),"Received",IF(BOM!R15="Purchased – Not Received","Ordered",IF(BOM!R15="Finalized – Not Purchased","Design Released","In Design"))))</f>
        <v/>
      </c>
      <c r="K9" s="52" t="str">
        <f aca="false">IF(OR(BOM!$D15="",BOM!$R15="Cancelled"),"",IF(BOM!W15="","",BOM!W15))</f>
        <v/>
      </c>
    </row>
    <row r="10" customFormat="false" ht="15" hidden="false" customHeight="false" outlineLevel="0" collapsed="false">
      <c r="A10" s="5" t="str">
        <f aca="false">IF(OR(BOM!$D16="",BOM!$R16="Cancelled"),"",IF(BOM!A16="","",BOM!A16))</f>
        <v/>
      </c>
      <c r="B10" s="5" t="str">
        <f aca="false">IF(OR(BOM!$D16="",BOM!$R16="Cancelled"),"",IF(BOM!B16="","",BOM!B16))</f>
        <v/>
      </c>
      <c r="C10" s="5" t="str">
        <f aca="false">IF(OR(BOM!$D16="",BOM!$R16="Cancelled"),"",IF(BOM!C16="","",BOM!C16))</f>
        <v/>
      </c>
      <c r="D10" s="5" t="str">
        <f aca="false">IF(OR(BOM!$D16="",BOM!$R16="Cancelled"),"",IF(BOM!D16="","",BOM!D16))</f>
        <v/>
      </c>
      <c r="E10" s="5" t="str">
        <f aca="false">IF(OR(BOM!$D16="",BOM!$R16="Cancelled"),"",IF(BOM!E16="","",BOM!E16))</f>
        <v/>
      </c>
      <c r="F10" s="5" t="str">
        <f aca="false">IF(OR(BOM!$D16="",BOM!$R16="Cancelled"),"",IF(BOM!F16="","",BOM!F16))</f>
        <v/>
      </c>
      <c r="G10" s="5" t="str">
        <f aca="false">IF(OR(BOM!$D16="",BOM!$R16="Cancelled"),"",IF(BOM!J16="","",BOM!J16))</f>
        <v/>
      </c>
      <c r="H10" s="5" t="str">
        <f aca="false">IF(OR(BOM!$D16="",BOM!$R16="Cancelled"),"",IF(BOM!K16="","",BOM!K16))</f>
        <v/>
      </c>
      <c r="I10" s="5" t="str">
        <f aca="false">IF(OR(BOM!$D16="",BOM!$R16="Cancelled"),"",IF(BOM!M16="","",BOM!M16))</f>
        <v/>
      </c>
      <c r="J10" s="5" t="str">
        <f aca="false">IF(OR(BOM!$D16="",BOM!$R16="Cancelled"),"",IF(OR(BOM!R16="Received",BOM!R16="NSW Purchased"),"Received",IF(BOM!R16="Purchased – Not Received","Ordered",IF(BOM!R16="Finalized – Not Purchased","Design Released","In Design"))))</f>
        <v/>
      </c>
      <c r="K10" s="52" t="str">
        <f aca="false">IF(OR(BOM!$D16="",BOM!$R16="Cancelled"),"",IF(BOM!W16="","",BOM!W16))</f>
        <v/>
      </c>
    </row>
    <row r="11" customFormat="false" ht="15" hidden="false" customHeight="false" outlineLevel="0" collapsed="false">
      <c r="A11" s="5" t="str">
        <f aca="false">IF(OR(BOM!$D17="",BOM!$R17="Cancelled"),"",IF(BOM!A17="","",BOM!A17))</f>
        <v/>
      </c>
      <c r="B11" s="5" t="str">
        <f aca="false">IF(OR(BOM!$D17="",BOM!$R17="Cancelled"),"",IF(BOM!B17="","",BOM!B17))</f>
        <v/>
      </c>
      <c r="C11" s="5" t="str">
        <f aca="false">IF(OR(BOM!$D17="",BOM!$R17="Cancelled"),"",IF(BOM!C17="","",BOM!C17))</f>
        <v/>
      </c>
      <c r="D11" s="5" t="str">
        <f aca="false">IF(OR(BOM!$D17="",BOM!$R17="Cancelled"),"",IF(BOM!D17="","",BOM!D17))</f>
        <v/>
      </c>
      <c r="E11" s="5" t="str">
        <f aca="false">IF(OR(BOM!$D17="",BOM!$R17="Cancelled"),"",IF(BOM!E17="","",BOM!E17))</f>
        <v/>
      </c>
      <c r="F11" s="5" t="str">
        <f aca="false">IF(OR(BOM!$D17="",BOM!$R17="Cancelled"),"",IF(BOM!F17="","",BOM!F17))</f>
        <v/>
      </c>
      <c r="G11" s="5" t="str">
        <f aca="false">IF(OR(BOM!$D17="",BOM!$R17="Cancelled"),"",IF(BOM!J17="","",BOM!J17))</f>
        <v/>
      </c>
      <c r="H11" s="5" t="str">
        <f aca="false">IF(OR(BOM!$D17="",BOM!$R17="Cancelled"),"",IF(BOM!K17="","",BOM!K17))</f>
        <v/>
      </c>
      <c r="I11" s="5" t="str">
        <f aca="false">IF(OR(BOM!$D17="",BOM!$R17="Cancelled"),"",IF(BOM!M17="","",BOM!M17))</f>
        <v/>
      </c>
      <c r="J11" s="5" t="str">
        <f aca="false">IF(OR(BOM!$D17="",BOM!$R17="Cancelled"),"",IF(OR(BOM!R17="Received",BOM!R17="NSW Purchased"),"Received",IF(BOM!R17="Purchased – Not Received","Ordered",IF(BOM!R17="Finalized – Not Purchased","Design Released","In Design"))))</f>
        <v/>
      </c>
      <c r="K11" s="52" t="str">
        <f aca="false">IF(OR(BOM!$D17="",BOM!$R17="Cancelled"),"",IF(BOM!W17="","",BOM!W17))</f>
        <v/>
      </c>
    </row>
    <row r="12" customFormat="false" ht="15" hidden="false" customHeight="false" outlineLevel="0" collapsed="false">
      <c r="A12" s="5" t="str">
        <f aca="false">IF(OR(BOM!$D18="",BOM!$R18="Cancelled"),"",IF(BOM!A18="","",BOM!A18))</f>
        <v/>
      </c>
      <c r="B12" s="5" t="str">
        <f aca="false">IF(OR(BOM!$D18="",BOM!$R18="Cancelled"),"",IF(BOM!B18="","",BOM!B18))</f>
        <v/>
      </c>
      <c r="C12" s="5" t="str">
        <f aca="false">IF(OR(BOM!$D18="",BOM!$R18="Cancelled"),"",IF(BOM!C18="","",BOM!C18))</f>
        <v/>
      </c>
      <c r="D12" s="5" t="str">
        <f aca="false">IF(OR(BOM!$D18="",BOM!$R18="Cancelled"),"",IF(BOM!D18="","",BOM!D18))</f>
        <v/>
      </c>
      <c r="E12" s="5" t="str">
        <f aca="false">IF(OR(BOM!$D18="",BOM!$R18="Cancelled"),"",IF(BOM!E18="","",BOM!E18))</f>
        <v/>
      </c>
      <c r="F12" s="5" t="str">
        <f aca="false">IF(OR(BOM!$D18="",BOM!$R18="Cancelled"),"",IF(BOM!F18="","",BOM!F18))</f>
        <v/>
      </c>
      <c r="G12" s="5" t="str">
        <f aca="false">IF(OR(BOM!$D18="",BOM!$R18="Cancelled"),"",IF(BOM!J18="","",BOM!J18))</f>
        <v/>
      </c>
      <c r="H12" s="5" t="str">
        <f aca="false">IF(OR(BOM!$D18="",BOM!$R18="Cancelled"),"",IF(BOM!K18="","",BOM!K18))</f>
        <v/>
      </c>
      <c r="I12" s="5" t="str">
        <f aca="false">IF(OR(BOM!$D18="",BOM!$R18="Cancelled"),"",IF(BOM!M18="","",BOM!M18))</f>
        <v/>
      </c>
      <c r="J12" s="5" t="str">
        <f aca="false">IF(OR(BOM!$D18="",BOM!$R18="Cancelled"),"",IF(OR(BOM!R18="Received",BOM!R18="NSW Purchased"),"Received",IF(BOM!R18="Purchased – Not Received","Ordered",IF(BOM!R18="Finalized – Not Purchased","Design Released","In Design"))))</f>
        <v/>
      </c>
      <c r="K12" s="52" t="str">
        <f aca="false">IF(OR(BOM!$D18="",BOM!$R18="Cancelled"),"",IF(BOM!W18="","",BOM!W18))</f>
        <v/>
      </c>
    </row>
    <row r="13" customFormat="false" ht="15" hidden="false" customHeight="false" outlineLevel="0" collapsed="false">
      <c r="A13" s="5" t="str">
        <f aca="false">IF(OR(BOM!$D19="",BOM!$R19="Cancelled"),"",IF(BOM!A19="","",BOM!A19))</f>
        <v/>
      </c>
      <c r="B13" s="5" t="str">
        <f aca="false">IF(OR(BOM!$D19="",BOM!$R19="Cancelled"),"",IF(BOM!B19="","",BOM!B19))</f>
        <v/>
      </c>
      <c r="C13" s="5" t="str">
        <f aca="false">IF(OR(BOM!$D19="",BOM!$R19="Cancelled"),"",IF(BOM!C19="","",BOM!C19))</f>
        <v/>
      </c>
      <c r="D13" s="5" t="str">
        <f aca="false">IF(OR(BOM!$D19="",BOM!$R19="Cancelled"),"",IF(BOM!D19="","",BOM!D19))</f>
        <v/>
      </c>
      <c r="E13" s="5" t="str">
        <f aca="false">IF(OR(BOM!$D19="",BOM!$R19="Cancelled"),"",IF(BOM!E19="","",BOM!E19))</f>
        <v/>
      </c>
      <c r="F13" s="5" t="str">
        <f aca="false">IF(OR(BOM!$D19="",BOM!$R19="Cancelled"),"",IF(BOM!F19="","",BOM!F19))</f>
        <v/>
      </c>
      <c r="G13" s="5" t="str">
        <f aca="false">IF(OR(BOM!$D19="",BOM!$R19="Cancelled"),"",IF(BOM!J19="","",BOM!J19))</f>
        <v/>
      </c>
      <c r="H13" s="5" t="str">
        <f aca="false">IF(OR(BOM!$D19="",BOM!$R19="Cancelled"),"",IF(BOM!K19="","",BOM!K19))</f>
        <v/>
      </c>
      <c r="I13" s="5" t="str">
        <f aca="false">IF(OR(BOM!$D19="",BOM!$R19="Cancelled"),"",IF(BOM!M19="","",BOM!M19))</f>
        <v/>
      </c>
      <c r="J13" s="5" t="str">
        <f aca="false">IF(OR(BOM!$D19="",BOM!$R19="Cancelled"),"",IF(OR(BOM!R19="Received",BOM!R19="NSW Purchased"),"Received",IF(BOM!R19="Purchased – Not Received","Ordered",IF(BOM!R19="Finalized – Not Purchased","Design Released","In Design"))))</f>
        <v/>
      </c>
      <c r="K13" s="52" t="str">
        <f aca="false">IF(OR(BOM!$D19="",BOM!$R19="Cancelled"),"",IF(BOM!W19="","",BOM!W19))</f>
        <v/>
      </c>
    </row>
    <row r="14" customFormat="false" ht="15" hidden="false" customHeight="false" outlineLevel="0" collapsed="false">
      <c r="A14" s="5" t="str">
        <f aca="false">IF(OR(BOM!$D20="",BOM!$R20="Cancelled"),"",IF(BOM!A20="","",BOM!A20))</f>
        <v/>
      </c>
      <c r="B14" s="5" t="str">
        <f aca="false">IF(OR(BOM!$D20="",BOM!$R20="Cancelled"),"",IF(BOM!B20="","",BOM!B20))</f>
        <v/>
      </c>
      <c r="C14" s="5" t="str">
        <f aca="false">IF(OR(BOM!$D20="",BOM!$R20="Cancelled"),"",IF(BOM!C20="","",BOM!C20))</f>
        <v/>
      </c>
      <c r="D14" s="5" t="str">
        <f aca="false">IF(OR(BOM!$D20="",BOM!$R20="Cancelled"),"",IF(BOM!D20="","",BOM!D20))</f>
        <v/>
      </c>
      <c r="E14" s="5" t="str">
        <f aca="false">IF(OR(BOM!$D20="",BOM!$R20="Cancelled"),"",IF(BOM!E20="","",BOM!E20))</f>
        <v/>
      </c>
      <c r="F14" s="5" t="str">
        <f aca="false">IF(OR(BOM!$D20="",BOM!$R20="Cancelled"),"",IF(BOM!F20="","",BOM!F20))</f>
        <v/>
      </c>
      <c r="G14" s="5" t="str">
        <f aca="false">IF(OR(BOM!$D20="",BOM!$R20="Cancelled"),"",IF(BOM!J20="","",BOM!J20))</f>
        <v/>
      </c>
      <c r="H14" s="5" t="str">
        <f aca="false">IF(OR(BOM!$D20="",BOM!$R20="Cancelled"),"",IF(BOM!K20="","",BOM!K20))</f>
        <v/>
      </c>
      <c r="I14" s="5" t="str">
        <f aca="false">IF(OR(BOM!$D20="",BOM!$R20="Cancelled"),"",IF(BOM!M20="","",BOM!M20))</f>
        <v/>
      </c>
      <c r="J14" s="5" t="str">
        <f aca="false">IF(OR(BOM!$D20="",BOM!$R20="Cancelled"),"",IF(OR(BOM!R20="Received",BOM!R20="NSW Purchased"),"Received",IF(BOM!R20="Purchased – Not Received","Ordered",IF(BOM!R20="Finalized – Not Purchased","Design Released","In Design"))))</f>
        <v/>
      </c>
      <c r="K14" s="52" t="str">
        <f aca="false">IF(OR(BOM!$D20="",BOM!$R20="Cancelled"),"",IF(BOM!W20="","",BOM!W20))</f>
        <v/>
      </c>
    </row>
    <row r="15" customFormat="false" ht="15" hidden="false" customHeight="false" outlineLevel="0" collapsed="false">
      <c r="A15" s="5" t="str">
        <f aca="false">IF(OR(BOM!$D21="",BOM!$R21="Cancelled"),"",IF(BOM!A21="","",BOM!A21))</f>
        <v/>
      </c>
      <c r="B15" s="5" t="str">
        <f aca="false">IF(OR(BOM!$D21="",BOM!$R21="Cancelled"),"",IF(BOM!B21="","",BOM!B21))</f>
        <v/>
      </c>
      <c r="C15" s="5" t="str">
        <f aca="false">IF(OR(BOM!$D21="",BOM!$R21="Cancelled"),"",IF(BOM!C21="","",BOM!C21))</f>
        <v/>
      </c>
      <c r="D15" s="5" t="str">
        <f aca="false">IF(OR(BOM!$D21="",BOM!$R21="Cancelled"),"",IF(BOM!D21="","",BOM!D21))</f>
        <v/>
      </c>
      <c r="E15" s="5" t="str">
        <f aca="false">IF(OR(BOM!$D21="",BOM!$R21="Cancelled"),"",IF(BOM!E21="","",BOM!E21))</f>
        <v/>
      </c>
      <c r="F15" s="5" t="str">
        <f aca="false">IF(OR(BOM!$D21="",BOM!$R21="Cancelled"),"",IF(BOM!F21="","",BOM!F21))</f>
        <v/>
      </c>
      <c r="G15" s="5" t="str">
        <f aca="false">IF(OR(BOM!$D21="",BOM!$R21="Cancelled"),"",IF(BOM!J21="","",BOM!J21))</f>
        <v/>
      </c>
      <c r="H15" s="5" t="str">
        <f aca="false">IF(OR(BOM!$D21="",BOM!$R21="Cancelled"),"",IF(BOM!K21="","",BOM!K21))</f>
        <v/>
      </c>
      <c r="I15" s="5" t="str">
        <f aca="false">IF(OR(BOM!$D21="",BOM!$R21="Cancelled"),"",IF(BOM!M21="","",BOM!M21))</f>
        <v/>
      </c>
      <c r="J15" s="5" t="str">
        <f aca="false">IF(OR(BOM!$D21="",BOM!$R21="Cancelled"),"",IF(OR(BOM!R21="Received",BOM!R21="NSW Purchased"),"Received",IF(BOM!R21="Purchased – Not Received","Ordered",IF(BOM!R21="Finalized – Not Purchased","Design Released","In Design"))))</f>
        <v/>
      </c>
      <c r="K15" s="52" t="str">
        <f aca="false">IF(OR(BOM!$D21="",BOM!$R21="Cancelled"),"",IF(BOM!W21="","",BOM!W21))</f>
        <v/>
      </c>
    </row>
    <row r="16" customFormat="false" ht="15" hidden="false" customHeight="false" outlineLevel="0" collapsed="false">
      <c r="A16" s="5" t="str">
        <f aca="false">IF(OR(BOM!$D22="",BOM!$R22="Cancelled"),"",IF(BOM!A22="","",BOM!A22))</f>
        <v/>
      </c>
      <c r="B16" s="5" t="str">
        <f aca="false">IF(OR(BOM!$D22="",BOM!$R22="Cancelled"),"",IF(BOM!B22="","",BOM!B22))</f>
        <v/>
      </c>
      <c r="C16" s="5" t="str">
        <f aca="false">IF(OR(BOM!$D22="",BOM!$R22="Cancelled"),"",IF(BOM!C22="","",BOM!C22))</f>
        <v/>
      </c>
      <c r="D16" s="5" t="str">
        <f aca="false">IF(OR(BOM!$D22="",BOM!$R22="Cancelled"),"",IF(BOM!D22="","",BOM!D22))</f>
        <v/>
      </c>
      <c r="E16" s="5" t="str">
        <f aca="false">IF(OR(BOM!$D22="",BOM!$R22="Cancelled"),"",IF(BOM!E22="","",BOM!E22))</f>
        <v/>
      </c>
      <c r="F16" s="5" t="str">
        <f aca="false">IF(OR(BOM!$D22="",BOM!$R22="Cancelled"),"",IF(BOM!F22="","",BOM!F22))</f>
        <v/>
      </c>
      <c r="G16" s="5" t="str">
        <f aca="false">IF(OR(BOM!$D22="",BOM!$R22="Cancelled"),"",IF(BOM!J22="","",BOM!J22))</f>
        <v/>
      </c>
      <c r="H16" s="5" t="str">
        <f aca="false">IF(OR(BOM!$D22="",BOM!$R22="Cancelled"),"",IF(BOM!K22="","",BOM!K22))</f>
        <v/>
      </c>
      <c r="I16" s="5" t="str">
        <f aca="false">IF(OR(BOM!$D22="",BOM!$R22="Cancelled"),"",IF(BOM!M22="","",BOM!M22))</f>
        <v/>
      </c>
      <c r="J16" s="5" t="str">
        <f aca="false">IF(OR(BOM!$D22="",BOM!$R22="Cancelled"),"",IF(OR(BOM!R22="Received",BOM!R22="NSW Purchased"),"Received",IF(BOM!R22="Purchased – Not Received","Ordered",IF(BOM!R22="Finalized – Not Purchased","Design Released","In Design"))))</f>
        <v/>
      </c>
      <c r="K16" s="52" t="str">
        <f aca="false">IF(OR(BOM!$D22="",BOM!$R22="Cancelled"),"",IF(BOM!W22="","",BOM!W22))</f>
        <v/>
      </c>
    </row>
    <row r="17" customFormat="false" ht="15" hidden="false" customHeight="false" outlineLevel="0" collapsed="false">
      <c r="A17" s="5" t="str">
        <f aca="false">IF(OR(BOM!$D23="",BOM!$R23="Cancelled"),"",IF(BOM!A23="","",BOM!A23))</f>
        <v/>
      </c>
      <c r="B17" s="5" t="str">
        <f aca="false">IF(OR(BOM!$D23="",BOM!$R23="Cancelled"),"",IF(BOM!B23="","",BOM!B23))</f>
        <v/>
      </c>
      <c r="C17" s="5" t="str">
        <f aca="false">IF(OR(BOM!$D23="",BOM!$R23="Cancelled"),"",IF(BOM!C23="","",BOM!C23))</f>
        <v/>
      </c>
      <c r="D17" s="5" t="str">
        <f aca="false">IF(OR(BOM!$D23="",BOM!$R23="Cancelled"),"",IF(BOM!D23="","",BOM!D23))</f>
        <v/>
      </c>
      <c r="E17" s="5" t="str">
        <f aca="false">IF(OR(BOM!$D23="",BOM!$R23="Cancelled"),"",IF(BOM!E23="","",BOM!E23))</f>
        <v/>
      </c>
      <c r="F17" s="5" t="str">
        <f aca="false">IF(OR(BOM!$D23="",BOM!$R23="Cancelled"),"",IF(BOM!F23="","",BOM!F23))</f>
        <v/>
      </c>
      <c r="G17" s="5" t="str">
        <f aca="false">IF(OR(BOM!$D23="",BOM!$R23="Cancelled"),"",IF(BOM!J23="","",BOM!J23))</f>
        <v/>
      </c>
      <c r="H17" s="5" t="str">
        <f aca="false">IF(OR(BOM!$D23="",BOM!$R23="Cancelled"),"",IF(BOM!K23="","",BOM!K23))</f>
        <v/>
      </c>
      <c r="I17" s="5" t="str">
        <f aca="false">IF(OR(BOM!$D23="",BOM!$R23="Cancelled"),"",IF(BOM!M23="","",BOM!M23))</f>
        <v/>
      </c>
      <c r="J17" s="5" t="str">
        <f aca="false">IF(OR(BOM!$D23="",BOM!$R23="Cancelled"),"",IF(OR(BOM!R23="Received",BOM!R23="NSW Purchased"),"Received",IF(BOM!R23="Purchased – Not Received","Ordered",IF(BOM!R23="Finalized – Not Purchased","Design Released","In Design"))))</f>
        <v/>
      </c>
      <c r="K17" s="52" t="str">
        <f aca="false">IF(OR(BOM!$D23="",BOM!$R23="Cancelled"),"",IF(BOM!W23="","",BOM!W23))</f>
        <v/>
      </c>
    </row>
    <row r="18" customFormat="false" ht="15" hidden="false" customHeight="false" outlineLevel="0" collapsed="false">
      <c r="A18" s="5" t="str">
        <f aca="false">IF(OR(BOM!$D24="",BOM!$R24="Cancelled"),"",IF(BOM!A24="","",BOM!A24))</f>
        <v/>
      </c>
      <c r="B18" s="5" t="str">
        <f aca="false">IF(OR(BOM!$D24="",BOM!$R24="Cancelled"),"",IF(BOM!B24="","",BOM!B24))</f>
        <v/>
      </c>
      <c r="C18" s="5" t="str">
        <f aca="false">IF(OR(BOM!$D24="",BOM!$R24="Cancelled"),"",IF(BOM!C24="","",BOM!C24))</f>
        <v/>
      </c>
      <c r="D18" s="5" t="str">
        <f aca="false">IF(OR(BOM!$D24="",BOM!$R24="Cancelled"),"",IF(BOM!D24="","",BOM!D24))</f>
        <v/>
      </c>
      <c r="E18" s="5" t="str">
        <f aca="false">IF(OR(BOM!$D24="",BOM!$R24="Cancelled"),"",IF(BOM!E24="","",BOM!E24))</f>
        <v/>
      </c>
      <c r="F18" s="5" t="str">
        <f aca="false">IF(OR(BOM!$D24="",BOM!$R24="Cancelled"),"",IF(BOM!F24="","",BOM!F24))</f>
        <v/>
      </c>
      <c r="G18" s="5" t="str">
        <f aca="false">IF(OR(BOM!$D24="",BOM!$R24="Cancelled"),"",IF(BOM!J24="","",BOM!J24))</f>
        <v/>
      </c>
      <c r="H18" s="5" t="str">
        <f aca="false">IF(OR(BOM!$D24="",BOM!$R24="Cancelled"),"",IF(BOM!K24="","",BOM!K24))</f>
        <v/>
      </c>
      <c r="I18" s="5" t="str">
        <f aca="false">IF(OR(BOM!$D24="",BOM!$R24="Cancelled"),"",IF(BOM!M24="","",BOM!M24))</f>
        <v/>
      </c>
      <c r="J18" s="5" t="str">
        <f aca="false">IF(OR(BOM!$D24="",BOM!$R24="Cancelled"),"",IF(OR(BOM!R24="Received",BOM!R24="NSW Purchased"),"Received",IF(BOM!R24="Purchased – Not Received","Ordered",IF(BOM!R24="Finalized – Not Purchased","Design Released","In Design"))))</f>
        <v/>
      </c>
      <c r="K18" s="52" t="str">
        <f aca="false">IF(OR(BOM!$D24="",BOM!$R24="Cancelled"),"",IF(BOM!W24="","",BOM!W24))</f>
        <v/>
      </c>
    </row>
    <row r="19" customFormat="false" ht="15" hidden="false" customHeight="false" outlineLevel="0" collapsed="false">
      <c r="A19" s="5" t="str">
        <f aca="false">IF(OR(BOM!$D25="",BOM!$R25="Cancelled"),"",IF(BOM!A25="","",BOM!A25))</f>
        <v/>
      </c>
      <c r="B19" s="5" t="str">
        <f aca="false">IF(OR(BOM!$D25="",BOM!$R25="Cancelled"),"",IF(BOM!B25="","",BOM!B25))</f>
        <v/>
      </c>
      <c r="C19" s="5" t="str">
        <f aca="false">IF(OR(BOM!$D25="",BOM!$R25="Cancelled"),"",IF(BOM!C25="","",BOM!C25))</f>
        <v/>
      </c>
      <c r="D19" s="5" t="str">
        <f aca="false">IF(OR(BOM!$D25="",BOM!$R25="Cancelled"),"",IF(BOM!D25="","",BOM!D25))</f>
        <v/>
      </c>
      <c r="E19" s="5" t="str">
        <f aca="false">IF(OR(BOM!$D25="",BOM!$R25="Cancelled"),"",IF(BOM!E25="","",BOM!E25))</f>
        <v/>
      </c>
      <c r="F19" s="5" t="str">
        <f aca="false">IF(OR(BOM!$D25="",BOM!$R25="Cancelled"),"",IF(BOM!F25="","",BOM!F25))</f>
        <v/>
      </c>
      <c r="G19" s="5" t="str">
        <f aca="false">IF(OR(BOM!$D25="",BOM!$R25="Cancelled"),"",IF(BOM!J25="","",BOM!J25))</f>
        <v/>
      </c>
      <c r="H19" s="5" t="str">
        <f aca="false">IF(OR(BOM!$D25="",BOM!$R25="Cancelled"),"",IF(BOM!K25="","",BOM!K25))</f>
        <v/>
      </c>
      <c r="I19" s="5" t="str">
        <f aca="false">IF(OR(BOM!$D25="",BOM!$R25="Cancelled"),"",IF(BOM!M25="","",BOM!M25))</f>
        <v/>
      </c>
      <c r="J19" s="5" t="str">
        <f aca="false">IF(OR(BOM!$D25="",BOM!$R25="Cancelled"),"",IF(OR(BOM!R25="Received",BOM!R25="NSW Purchased"),"Received",IF(BOM!R25="Purchased – Not Received","Ordered",IF(BOM!R25="Finalized – Not Purchased","Design Released","In Design"))))</f>
        <v/>
      </c>
      <c r="K19" s="52" t="str">
        <f aca="false">IF(OR(BOM!$D25="",BOM!$R25="Cancelled"),"",IF(BOM!W25="","",BOM!W25))</f>
        <v/>
      </c>
    </row>
    <row r="20" customFormat="false" ht="15" hidden="false" customHeight="false" outlineLevel="0" collapsed="false">
      <c r="A20" s="5" t="str">
        <f aca="false">IF(OR(BOM!$D26="",BOM!$R26="Cancelled"),"",IF(BOM!A26="","",BOM!A26))</f>
        <v/>
      </c>
      <c r="B20" s="5" t="str">
        <f aca="false">IF(OR(BOM!$D26="",BOM!$R26="Cancelled"),"",IF(BOM!B26="","",BOM!B26))</f>
        <v/>
      </c>
      <c r="C20" s="5" t="str">
        <f aca="false">IF(OR(BOM!$D26="",BOM!$R26="Cancelled"),"",IF(BOM!C26="","",BOM!C26))</f>
        <v/>
      </c>
      <c r="D20" s="5" t="str">
        <f aca="false">IF(OR(BOM!$D26="",BOM!$R26="Cancelled"),"",IF(BOM!D26="","",BOM!D26))</f>
        <v/>
      </c>
      <c r="E20" s="5" t="str">
        <f aca="false">IF(OR(BOM!$D26="",BOM!$R26="Cancelled"),"",IF(BOM!E26="","",BOM!E26))</f>
        <v/>
      </c>
      <c r="F20" s="5" t="str">
        <f aca="false">IF(OR(BOM!$D26="",BOM!$R26="Cancelled"),"",IF(BOM!F26="","",BOM!F26))</f>
        <v/>
      </c>
      <c r="G20" s="5" t="str">
        <f aca="false">IF(OR(BOM!$D26="",BOM!$R26="Cancelled"),"",IF(BOM!J26="","",BOM!J26))</f>
        <v/>
      </c>
      <c r="H20" s="5" t="str">
        <f aca="false">IF(OR(BOM!$D26="",BOM!$R26="Cancelled"),"",IF(BOM!K26="","",BOM!K26))</f>
        <v/>
      </c>
      <c r="I20" s="5" t="str">
        <f aca="false">IF(OR(BOM!$D26="",BOM!$R26="Cancelled"),"",IF(BOM!M26="","",BOM!M26))</f>
        <v/>
      </c>
      <c r="J20" s="5" t="str">
        <f aca="false">IF(OR(BOM!$D26="",BOM!$R26="Cancelled"),"",IF(OR(BOM!R26="Received",BOM!R26="NSW Purchased"),"Received",IF(BOM!R26="Purchased – Not Received","Ordered",IF(BOM!R26="Finalized – Not Purchased","Design Released","In Design"))))</f>
        <v/>
      </c>
      <c r="K20" s="52" t="str">
        <f aca="false">IF(OR(BOM!$D26="",BOM!$R26="Cancelled"),"",IF(BOM!W26="","",BOM!W26))</f>
        <v/>
      </c>
    </row>
    <row r="21" customFormat="false" ht="15" hidden="false" customHeight="false" outlineLevel="0" collapsed="false">
      <c r="A21" s="5" t="str">
        <f aca="false">IF(OR(BOM!$D27="",BOM!$R27="Cancelled"),"",IF(BOM!A27="","",BOM!A27))</f>
        <v/>
      </c>
      <c r="B21" s="5" t="str">
        <f aca="false">IF(OR(BOM!$D27="",BOM!$R27="Cancelled"),"",IF(BOM!B27="","",BOM!B27))</f>
        <v/>
      </c>
      <c r="C21" s="5" t="str">
        <f aca="false">IF(OR(BOM!$D27="",BOM!$R27="Cancelled"),"",IF(BOM!C27="","",BOM!C27))</f>
        <v/>
      </c>
      <c r="D21" s="5" t="str">
        <f aca="false">IF(OR(BOM!$D27="",BOM!$R27="Cancelled"),"",IF(BOM!D27="","",BOM!D27))</f>
        <v/>
      </c>
      <c r="E21" s="5" t="str">
        <f aca="false">IF(OR(BOM!$D27="",BOM!$R27="Cancelled"),"",IF(BOM!E27="","",BOM!E27))</f>
        <v/>
      </c>
      <c r="F21" s="5" t="str">
        <f aca="false">IF(OR(BOM!$D27="",BOM!$R27="Cancelled"),"",IF(BOM!F27="","",BOM!F27))</f>
        <v/>
      </c>
      <c r="G21" s="5" t="str">
        <f aca="false">IF(OR(BOM!$D27="",BOM!$R27="Cancelled"),"",IF(BOM!J27="","",BOM!J27))</f>
        <v/>
      </c>
      <c r="H21" s="5" t="str">
        <f aca="false">IF(OR(BOM!$D27="",BOM!$R27="Cancelled"),"",IF(BOM!K27="","",BOM!K27))</f>
        <v/>
      </c>
      <c r="I21" s="5" t="str">
        <f aca="false">IF(OR(BOM!$D27="",BOM!$R27="Cancelled"),"",IF(BOM!M27="","",BOM!M27))</f>
        <v/>
      </c>
      <c r="J21" s="5" t="str">
        <f aca="false">IF(OR(BOM!$D27="",BOM!$R27="Cancelled"),"",IF(OR(BOM!R27="Received",BOM!R27="NSW Purchased"),"Received",IF(BOM!R27="Purchased – Not Received","Ordered",IF(BOM!R27="Finalized – Not Purchased","Design Released","In Design"))))</f>
        <v/>
      </c>
      <c r="K21" s="52" t="str">
        <f aca="false">IF(OR(BOM!$D27="",BOM!$R27="Cancelled"),"",IF(BOM!W27="","",BOM!W27))</f>
        <v/>
      </c>
    </row>
    <row r="22" customFormat="false" ht="15" hidden="false" customHeight="false" outlineLevel="0" collapsed="false">
      <c r="A22" s="5" t="str">
        <f aca="false">IF(OR(BOM!$D28="",BOM!$R28="Cancelled"),"",IF(BOM!A28="","",BOM!A28))</f>
        <v/>
      </c>
      <c r="B22" s="5" t="str">
        <f aca="false">IF(OR(BOM!$D28="",BOM!$R28="Cancelled"),"",IF(BOM!B28="","",BOM!B28))</f>
        <v/>
      </c>
      <c r="C22" s="5" t="str">
        <f aca="false">IF(OR(BOM!$D28="",BOM!$R28="Cancelled"),"",IF(BOM!C28="","",BOM!C28))</f>
        <v/>
      </c>
      <c r="D22" s="5" t="str">
        <f aca="false">IF(OR(BOM!$D28="",BOM!$R28="Cancelled"),"",IF(BOM!D28="","",BOM!D28))</f>
        <v/>
      </c>
      <c r="E22" s="5" t="str">
        <f aca="false">IF(OR(BOM!$D28="",BOM!$R28="Cancelled"),"",IF(BOM!E28="","",BOM!E28))</f>
        <v/>
      </c>
      <c r="F22" s="5" t="str">
        <f aca="false">IF(OR(BOM!$D28="",BOM!$R28="Cancelled"),"",IF(BOM!F28="","",BOM!F28))</f>
        <v/>
      </c>
      <c r="G22" s="5" t="str">
        <f aca="false">IF(OR(BOM!$D28="",BOM!$R28="Cancelled"),"",IF(BOM!J28="","",BOM!J28))</f>
        <v/>
      </c>
      <c r="H22" s="5" t="str">
        <f aca="false">IF(OR(BOM!$D28="",BOM!$R28="Cancelled"),"",IF(BOM!K28="","",BOM!K28))</f>
        <v/>
      </c>
      <c r="I22" s="5" t="str">
        <f aca="false">IF(OR(BOM!$D28="",BOM!$R28="Cancelled"),"",IF(BOM!M28="","",BOM!M28))</f>
        <v/>
      </c>
      <c r="J22" s="5" t="str">
        <f aca="false">IF(OR(BOM!$D28="",BOM!$R28="Cancelled"),"",IF(OR(BOM!R28="Received",BOM!R28="NSW Purchased"),"Received",IF(BOM!R28="Purchased – Not Received","Ordered",IF(BOM!R28="Finalized – Not Purchased","Design Released","In Design"))))</f>
        <v/>
      </c>
      <c r="K22" s="52" t="str">
        <f aca="false">IF(OR(BOM!$D28="",BOM!$R28="Cancelled"),"",IF(BOM!W28="","",BOM!W28))</f>
        <v/>
      </c>
    </row>
    <row r="23" customFormat="false" ht="15" hidden="false" customHeight="false" outlineLevel="0" collapsed="false">
      <c r="A23" s="5" t="str">
        <f aca="false">IF(OR(BOM!$D29="",BOM!$R29="Cancelled"),"",IF(BOM!A29="","",BOM!A29))</f>
        <v/>
      </c>
      <c r="B23" s="5" t="str">
        <f aca="false">IF(OR(BOM!$D29="",BOM!$R29="Cancelled"),"",IF(BOM!B29="","",BOM!B29))</f>
        <v/>
      </c>
      <c r="C23" s="5" t="str">
        <f aca="false">IF(OR(BOM!$D29="",BOM!$R29="Cancelled"),"",IF(BOM!C29="","",BOM!C29))</f>
        <v/>
      </c>
      <c r="D23" s="5" t="str">
        <f aca="false">IF(OR(BOM!$D29="",BOM!$R29="Cancelled"),"",IF(BOM!D29="","",BOM!D29))</f>
        <v/>
      </c>
      <c r="E23" s="5" t="str">
        <f aca="false">IF(OR(BOM!$D29="",BOM!$R29="Cancelled"),"",IF(BOM!E29="","",BOM!E29))</f>
        <v/>
      </c>
      <c r="F23" s="5" t="str">
        <f aca="false">IF(OR(BOM!$D29="",BOM!$R29="Cancelled"),"",IF(BOM!F29="","",BOM!F29))</f>
        <v/>
      </c>
      <c r="G23" s="5" t="str">
        <f aca="false">IF(OR(BOM!$D29="",BOM!$R29="Cancelled"),"",IF(BOM!J29="","",BOM!J29))</f>
        <v/>
      </c>
      <c r="H23" s="5" t="str">
        <f aca="false">IF(OR(BOM!$D29="",BOM!$R29="Cancelled"),"",IF(BOM!K29="","",BOM!K29))</f>
        <v/>
      </c>
      <c r="I23" s="5" t="str">
        <f aca="false">IF(OR(BOM!$D29="",BOM!$R29="Cancelled"),"",IF(BOM!M29="","",BOM!M29))</f>
        <v/>
      </c>
      <c r="J23" s="5" t="str">
        <f aca="false">IF(OR(BOM!$D29="",BOM!$R29="Cancelled"),"",IF(OR(BOM!R29="Received",BOM!R29="NSW Purchased"),"Received",IF(BOM!R29="Purchased – Not Received","Ordered",IF(BOM!R29="Finalized – Not Purchased","Design Released","In Design"))))</f>
        <v/>
      </c>
      <c r="K23" s="52" t="str">
        <f aca="false">IF(OR(BOM!$D29="",BOM!$R29="Cancelled"),"",IF(BOM!W29="","",BOM!W29))</f>
        <v/>
      </c>
    </row>
    <row r="24" customFormat="false" ht="15" hidden="false" customHeight="false" outlineLevel="0" collapsed="false">
      <c r="A24" s="5" t="str">
        <f aca="false">IF(OR(BOM!$D30="",BOM!$R30="Cancelled"),"",IF(BOM!A30="","",BOM!A30))</f>
        <v/>
      </c>
      <c r="B24" s="5" t="str">
        <f aca="false">IF(OR(BOM!$D30="",BOM!$R30="Cancelled"),"",IF(BOM!B30="","",BOM!B30))</f>
        <v/>
      </c>
      <c r="C24" s="5" t="str">
        <f aca="false">IF(OR(BOM!$D30="",BOM!$R30="Cancelled"),"",IF(BOM!C30="","",BOM!C30))</f>
        <v/>
      </c>
      <c r="D24" s="5" t="str">
        <f aca="false">IF(OR(BOM!$D30="",BOM!$R30="Cancelled"),"",IF(BOM!D30="","",BOM!D30))</f>
        <v/>
      </c>
      <c r="E24" s="5" t="str">
        <f aca="false">IF(OR(BOM!$D30="",BOM!$R30="Cancelled"),"",IF(BOM!E30="","",BOM!E30))</f>
        <v/>
      </c>
      <c r="F24" s="5" t="str">
        <f aca="false">IF(OR(BOM!$D30="",BOM!$R30="Cancelled"),"",IF(BOM!F30="","",BOM!F30))</f>
        <v/>
      </c>
      <c r="G24" s="5" t="str">
        <f aca="false">IF(OR(BOM!$D30="",BOM!$R30="Cancelled"),"",IF(BOM!J30="","",BOM!J30))</f>
        <v/>
      </c>
      <c r="H24" s="5" t="str">
        <f aca="false">IF(OR(BOM!$D30="",BOM!$R30="Cancelled"),"",IF(BOM!K30="","",BOM!K30))</f>
        <v/>
      </c>
      <c r="I24" s="5" t="str">
        <f aca="false">IF(OR(BOM!$D30="",BOM!$R30="Cancelled"),"",IF(BOM!M30="","",BOM!M30))</f>
        <v/>
      </c>
      <c r="J24" s="5" t="str">
        <f aca="false">IF(OR(BOM!$D30="",BOM!$R30="Cancelled"),"",IF(OR(BOM!R30="Received",BOM!R30="NSW Purchased"),"Received",IF(BOM!R30="Purchased – Not Received","Ordered",IF(BOM!R30="Finalized – Not Purchased","Design Released","In Design"))))</f>
        <v/>
      </c>
      <c r="K24" s="52" t="str">
        <f aca="false">IF(OR(BOM!$D30="",BOM!$R30="Cancelled"),"",IF(BOM!W30="","",BOM!W30))</f>
        <v/>
      </c>
    </row>
    <row r="25" customFormat="false" ht="15" hidden="false" customHeight="false" outlineLevel="0" collapsed="false">
      <c r="A25" s="5" t="str">
        <f aca="false">IF(OR(BOM!$D31="",BOM!$R31="Cancelled"),"",IF(BOM!A31="","",BOM!A31))</f>
        <v/>
      </c>
      <c r="B25" s="5" t="str">
        <f aca="false">IF(OR(BOM!$D31="",BOM!$R31="Cancelled"),"",IF(BOM!B31="","",BOM!B31))</f>
        <v/>
      </c>
      <c r="C25" s="5" t="str">
        <f aca="false">IF(OR(BOM!$D31="",BOM!$R31="Cancelled"),"",IF(BOM!C31="","",BOM!C31))</f>
        <v/>
      </c>
      <c r="D25" s="5" t="str">
        <f aca="false">IF(OR(BOM!$D31="",BOM!$R31="Cancelled"),"",IF(BOM!D31="","",BOM!D31))</f>
        <v/>
      </c>
      <c r="E25" s="5" t="str">
        <f aca="false">IF(OR(BOM!$D31="",BOM!$R31="Cancelled"),"",IF(BOM!E31="","",BOM!E31))</f>
        <v/>
      </c>
      <c r="F25" s="5" t="str">
        <f aca="false">IF(OR(BOM!$D31="",BOM!$R31="Cancelled"),"",IF(BOM!F31="","",BOM!F31))</f>
        <v/>
      </c>
      <c r="G25" s="5" t="str">
        <f aca="false">IF(OR(BOM!$D31="",BOM!$R31="Cancelled"),"",IF(BOM!J31="","",BOM!J31))</f>
        <v/>
      </c>
      <c r="H25" s="5" t="str">
        <f aca="false">IF(OR(BOM!$D31="",BOM!$R31="Cancelled"),"",IF(BOM!K31="","",BOM!K31))</f>
        <v/>
      </c>
      <c r="I25" s="5" t="str">
        <f aca="false">IF(OR(BOM!$D31="",BOM!$R31="Cancelled"),"",IF(BOM!M31="","",BOM!M31))</f>
        <v/>
      </c>
      <c r="J25" s="5" t="str">
        <f aca="false">IF(OR(BOM!$D31="",BOM!$R31="Cancelled"),"",IF(OR(BOM!R31="Received",BOM!R31="NSW Purchased"),"Received",IF(BOM!R31="Purchased – Not Received","Ordered",IF(BOM!R31="Finalized – Not Purchased","Design Released","In Design"))))</f>
        <v/>
      </c>
      <c r="K25" s="52" t="str">
        <f aca="false">IF(OR(BOM!$D31="",BOM!$R31="Cancelled"),"",IF(BOM!W31="","",BOM!W31))</f>
        <v/>
      </c>
    </row>
    <row r="26" customFormat="false" ht="15" hidden="false" customHeight="false" outlineLevel="0" collapsed="false">
      <c r="A26" s="5" t="str">
        <f aca="false">IF(OR(BOM!$D32="",BOM!$R32="Cancelled"),"",IF(BOM!A32="","",BOM!A32))</f>
        <v/>
      </c>
      <c r="B26" s="5" t="str">
        <f aca="false">IF(OR(BOM!$D32="",BOM!$R32="Cancelled"),"",IF(BOM!B32="","",BOM!B32))</f>
        <v/>
      </c>
      <c r="C26" s="5" t="str">
        <f aca="false">IF(OR(BOM!$D32="",BOM!$R32="Cancelled"),"",IF(BOM!C32="","",BOM!C32))</f>
        <v/>
      </c>
      <c r="D26" s="5" t="str">
        <f aca="false">IF(OR(BOM!$D32="",BOM!$R32="Cancelled"),"",IF(BOM!D32="","",BOM!D32))</f>
        <v/>
      </c>
      <c r="E26" s="5" t="str">
        <f aca="false">IF(OR(BOM!$D32="",BOM!$R32="Cancelled"),"",IF(BOM!E32="","",BOM!E32))</f>
        <v/>
      </c>
      <c r="F26" s="5" t="str">
        <f aca="false">IF(OR(BOM!$D32="",BOM!$R32="Cancelled"),"",IF(BOM!F32="","",BOM!F32))</f>
        <v/>
      </c>
      <c r="G26" s="5" t="str">
        <f aca="false">IF(OR(BOM!$D32="",BOM!$R32="Cancelled"),"",IF(BOM!J32="","",BOM!J32))</f>
        <v/>
      </c>
      <c r="H26" s="5" t="str">
        <f aca="false">IF(OR(BOM!$D32="",BOM!$R32="Cancelled"),"",IF(BOM!K32="","",BOM!K32))</f>
        <v/>
      </c>
      <c r="I26" s="5" t="str">
        <f aca="false">IF(OR(BOM!$D32="",BOM!$R32="Cancelled"),"",IF(BOM!M32="","",BOM!M32))</f>
        <v/>
      </c>
      <c r="J26" s="5" t="str">
        <f aca="false">IF(OR(BOM!$D32="",BOM!$R32="Cancelled"),"",IF(OR(BOM!R32="Received",BOM!R32="NSW Purchased"),"Received",IF(BOM!R32="Purchased – Not Received","Ordered",IF(BOM!R32="Finalized – Not Purchased","Design Released","In Design"))))</f>
        <v/>
      </c>
      <c r="K26" s="52" t="str">
        <f aca="false">IF(OR(BOM!$D32="",BOM!$R32="Cancelled"),"",IF(BOM!W32="","",BOM!W32))</f>
        <v/>
      </c>
    </row>
    <row r="27" customFormat="false" ht="15" hidden="false" customHeight="false" outlineLevel="0" collapsed="false">
      <c r="A27" s="5" t="str">
        <f aca="false">IF(OR(BOM!$D33="",BOM!$R33="Cancelled"),"",IF(BOM!A33="","",BOM!A33))</f>
        <v/>
      </c>
      <c r="B27" s="5" t="str">
        <f aca="false">IF(OR(BOM!$D33="",BOM!$R33="Cancelled"),"",IF(BOM!B33="","",BOM!B33))</f>
        <v/>
      </c>
      <c r="C27" s="5" t="str">
        <f aca="false">IF(OR(BOM!$D33="",BOM!$R33="Cancelled"),"",IF(BOM!C33="","",BOM!C33))</f>
        <v/>
      </c>
      <c r="D27" s="5" t="str">
        <f aca="false">IF(OR(BOM!$D33="",BOM!$R33="Cancelled"),"",IF(BOM!D33="","",BOM!D33))</f>
        <v/>
      </c>
      <c r="E27" s="5" t="str">
        <f aca="false">IF(OR(BOM!$D33="",BOM!$R33="Cancelled"),"",IF(BOM!E33="","",BOM!E33))</f>
        <v/>
      </c>
      <c r="F27" s="5" t="str">
        <f aca="false">IF(OR(BOM!$D33="",BOM!$R33="Cancelled"),"",IF(BOM!F33="","",BOM!F33))</f>
        <v/>
      </c>
      <c r="G27" s="5" t="str">
        <f aca="false">IF(OR(BOM!$D33="",BOM!$R33="Cancelled"),"",IF(BOM!J33="","",BOM!J33))</f>
        <v/>
      </c>
      <c r="H27" s="5" t="str">
        <f aca="false">IF(OR(BOM!$D33="",BOM!$R33="Cancelled"),"",IF(BOM!K33="","",BOM!K33))</f>
        <v/>
      </c>
      <c r="I27" s="5" t="str">
        <f aca="false">IF(OR(BOM!$D33="",BOM!$R33="Cancelled"),"",IF(BOM!M33="","",BOM!M33))</f>
        <v/>
      </c>
      <c r="J27" s="5" t="str">
        <f aca="false">IF(OR(BOM!$D33="",BOM!$R33="Cancelled"),"",IF(OR(BOM!R33="Received",BOM!R33="NSW Purchased"),"Received",IF(BOM!R33="Purchased – Not Received","Ordered",IF(BOM!R33="Finalized – Not Purchased","Design Released","In Design"))))</f>
        <v/>
      </c>
      <c r="K27" s="52" t="str">
        <f aca="false">IF(OR(BOM!$D33="",BOM!$R33="Cancelled"),"",IF(BOM!W33="","",BOM!W33))</f>
        <v/>
      </c>
    </row>
    <row r="28" customFormat="false" ht="15" hidden="false" customHeight="false" outlineLevel="0" collapsed="false">
      <c r="A28" s="5" t="str">
        <f aca="false">IF(OR(BOM!$D34="",BOM!$R34="Cancelled"),"",IF(BOM!A34="","",BOM!A34))</f>
        <v/>
      </c>
      <c r="B28" s="5" t="str">
        <f aca="false">IF(OR(BOM!$D34="",BOM!$R34="Cancelled"),"",IF(BOM!B34="","",BOM!B34))</f>
        <v/>
      </c>
      <c r="C28" s="5" t="str">
        <f aca="false">IF(OR(BOM!$D34="",BOM!$R34="Cancelled"),"",IF(BOM!C34="","",BOM!C34))</f>
        <v/>
      </c>
      <c r="D28" s="5" t="str">
        <f aca="false">IF(OR(BOM!$D34="",BOM!$R34="Cancelled"),"",IF(BOM!D34="","",BOM!D34))</f>
        <v/>
      </c>
      <c r="E28" s="5" t="str">
        <f aca="false">IF(OR(BOM!$D34="",BOM!$R34="Cancelled"),"",IF(BOM!E34="","",BOM!E34))</f>
        <v/>
      </c>
      <c r="F28" s="5" t="str">
        <f aca="false">IF(OR(BOM!$D34="",BOM!$R34="Cancelled"),"",IF(BOM!F34="","",BOM!F34))</f>
        <v/>
      </c>
      <c r="G28" s="5" t="str">
        <f aca="false">IF(OR(BOM!$D34="",BOM!$R34="Cancelled"),"",IF(BOM!J34="","",BOM!J34))</f>
        <v/>
      </c>
      <c r="H28" s="5" t="str">
        <f aca="false">IF(OR(BOM!$D34="",BOM!$R34="Cancelled"),"",IF(BOM!K34="","",BOM!K34))</f>
        <v/>
      </c>
      <c r="I28" s="5" t="str">
        <f aca="false">IF(OR(BOM!$D34="",BOM!$R34="Cancelled"),"",IF(BOM!M34="","",BOM!M34))</f>
        <v/>
      </c>
      <c r="J28" s="5" t="str">
        <f aca="false">IF(OR(BOM!$D34="",BOM!$R34="Cancelled"),"",IF(OR(BOM!R34="Received",BOM!R34="NSW Purchased"),"Received",IF(BOM!R34="Purchased – Not Received","Ordered",IF(BOM!R34="Finalized – Not Purchased","Design Released","In Design"))))</f>
        <v/>
      </c>
      <c r="K28" s="52" t="str">
        <f aca="false">IF(OR(BOM!$D34="",BOM!$R34="Cancelled"),"",IF(BOM!W34="","",BOM!W34))</f>
        <v/>
      </c>
    </row>
    <row r="29" customFormat="false" ht="15" hidden="false" customHeight="false" outlineLevel="0" collapsed="false">
      <c r="A29" s="5" t="str">
        <f aca="false">IF(OR(BOM!$D35="",BOM!$R35="Cancelled"),"",IF(BOM!A35="","",BOM!A35))</f>
        <v/>
      </c>
      <c r="B29" s="5" t="str">
        <f aca="false">IF(OR(BOM!$D35="",BOM!$R35="Cancelled"),"",IF(BOM!B35="","",BOM!B35))</f>
        <v/>
      </c>
      <c r="C29" s="5" t="str">
        <f aca="false">IF(OR(BOM!$D35="",BOM!$R35="Cancelled"),"",IF(BOM!C35="","",BOM!C35))</f>
        <v/>
      </c>
      <c r="D29" s="5" t="str">
        <f aca="false">IF(OR(BOM!$D35="",BOM!$R35="Cancelled"),"",IF(BOM!D35="","",BOM!D35))</f>
        <v/>
      </c>
      <c r="E29" s="5" t="str">
        <f aca="false">IF(OR(BOM!$D35="",BOM!$R35="Cancelled"),"",IF(BOM!E35="","",BOM!E35))</f>
        <v/>
      </c>
      <c r="F29" s="5" t="str">
        <f aca="false">IF(OR(BOM!$D35="",BOM!$R35="Cancelled"),"",IF(BOM!F35="","",BOM!F35))</f>
        <v/>
      </c>
      <c r="G29" s="5" t="str">
        <f aca="false">IF(OR(BOM!$D35="",BOM!$R35="Cancelled"),"",IF(BOM!J35="","",BOM!J35))</f>
        <v/>
      </c>
      <c r="H29" s="5" t="str">
        <f aca="false">IF(OR(BOM!$D35="",BOM!$R35="Cancelled"),"",IF(BOM!K35="","",BOM!K35))</f>
        <v/>
      </c>
      <c r="I29" s="5" t="str">
        <f aca="false">IF(OR(BOM!$D35="",BOM!$R35="Cancelled"),"",IF(BOM!M35="","",BOM!M35))</f>
        <v/>
      </c>
      <c r="J29" s="5" t="str">
        <f aca="false">IF(OR(BOM!$D35="",BOM!$R35="Cancelled"),"",IF(OR(BOM!R35="Received",BOM!R35="NSW Purchased"),"Received",IF(BOM!R35="Purchased – Not Received","Ordered",IF(BOM!R35="Finalized – Not Purchased","Design Released","In Design"))))</f>
        <v/>
      </c>
      <c r="K29" s="52" t="str">
        <f aca="false">IF(OR(BOM!$D35="",BOM!$R35="Cancelled"),"",IF(BOM!W35="","",BOM!W35))</f>
        <v/>
      </c>
    </row>
    <row r="30" customFormat="false" ht="15" hidden="false" customHeight="false" outlineLevel="0" collapsed="false">
      <c r="A30" s="5" t="str">
        <f aca="false">IF(OR(BOM!$D36="",BOM!$R36="Cancelled"),"",IF(BOM!A36="","",BOM!A36))</f>
        <v/>
      </c>
      <c r="B30" s="5" t="str">
        <f aca="false">IF(OR(BOM!$D36="",BOM!$R36="Cancelled"),"",IF(BOM!B36="","",BOM!B36))</f>
        <v/>
      </c>
      <c r="C30" s="5" t="str">
        <f aca="false">IF(OR(BOM!$D36="",BOM!$R36="Cancelled"),"",IF(BOM!C36="","",BOM!C36))</f>
        <v/>
      </c>
      <c r="D30" s="5" t="str">
        <f aca="false">IF(OR(BOM!$D36="",BOM!$R36="Cancelled"),"",IF(BOM!D36="","",BOM!D36))</f>
        <v/>
      </c>
      <c r="E30" s="5" t="str">
        <f aca="false">IF(OR(BOM!$D36="",BOM!$R36="Cancelled"),"",IF(BOM!E36="","",BOM!E36))</f>
        <v/>
      </c>
      <c r="F30" s="5" t="str">
        <f aca="false">IF(OR(BOM!$D36="",BOM!$R36="Cancelled"),"",IF(BOM!F36="","",BOM!F36))</f>
        <v/>
      </c>
      <c r="G30" s="5" t="str">
        <f aca="false">IF(OR(BOM!$D36="",BOM!$R36="Cancelled"),"",IF(BOM!J36="","",BOM!J36))</f>
        <v/>
      </c>
      <c r="H30" s="5" t="str">
        <f aca="false">IF(OR(BOM!$D36="",BOM!$R36="Cancelled"),"",IF(BOM!K36="","",BOM!K36))</f>
        <v/>
      </c>
      <c r="I30" s="5" t="str">
        <f aca="false">IF(OR(BOM!$D36="",BOM!$R36="Cancelled"),"",IF(BOM!M36="","",BOM!M36))</f>
        <v/>
      </c>
      <c r="J30" s="5" t="str">
        <f aca="false">IF(OR(BOM!$D36="",BOM!$R36="Cancelled"),"",IF(OR(BOM!R36="Received",BOM!R36="NSW Purchased"),"Received",IF(BOM!R36="Purchased – Not Received","Ordered",IF(BOM!R36="Finalized – Not Purchased","Design Released","In Design"))))</f>
        <v/>
      </c>
      <c r="K30" s="52" t="str">
        <f aca="false">IF(OR(BOM!$D36="",BOM!$R36="Cancelled"),"",IF(BOM!W36="","",BOM!W36))</f>
        <v/>
      </c>
    </row>
    <row r="31" customFormat="false" ht="15" hidden="false" customHeight="false" outlineLevel="0" collapsed="false">
      <c r="A31" s="5" t="str">
        <f aca="false">IF(OR(BOM!$D37="",BOM!$R37="Cancelled"),"",IF(BOM!A37="","",BOM!A37))</f>
        <v/>
      </c>
      <c r="B31" s="5" t="str">
        <f aca="false">IF(OR(BOM!$D37="",BOM!$R37="Cancelled"),"",IF(BOM!B37="","",BOM!B37))</f>
        <v/>
      </c>
      <c r="C31" s="5" t="str">
        <f aca="false">IF(OR(BOM!$D37="",BOM!$R37="Cancelled"),"",IF(BOM!C37="","",BOM!C37))</f>
        <v/>
      </c>
      <c r="D31" s="5" t="str">
        <f aca="false">IF(OR(BOM!$D37="",BOM!$R37="Cancelled"),"",IF(BOM!D37="","",BOM!D37))</f>
        <v/>
      </c>
      <c r="E31" s="5" t="str">
        <f aca="false">IF(OR(BOM!$D37="",BOM!$R37="Cancelled"),"",IF(BOM!E37="","",BOM!E37))</f>
        <v/>
      </c>
      <c r="F31" s="5" t="str">
        <f aca="false">IF(OR(BOM!$D37="",BOM!$R37="Cancelled"),"",IF(BOM!F37="","",BOM!F37))</f>
        <v/>
      </c>
      <c r="G31" s="5" t="str">
        <f aca="false">IF(OR(BOM!$D37="",BOM!$R37="Cancelled"),"",IF(BOM!J37="","",BOM!J37))</f>
        <v/>
      </c>
      <c r="H31" s="5" t="str">
        <f aca="false">IF(OR(BOM!$D37="",BOM!$R37="Cancelled"),"",IF(BOM!K37="","",BOM!K37))</f>
        <v/>
      </c>
      <c r="I31" s="5" t="str">
        <f aca="false">IF(OR(BOM!$D37="",BOM!$R37="Cancelled"),"",IF(BOM!M37="","",BOM!M37))</f>
        <v/>
      </c>
      <c r="J31" s="5" t="str">
        <f aca="false">IF(OR(BOM!$D37="",BOM!$R37="Cancelled"),"",IF(OR(BOM!R37="Received",BOM!R37="NSW Purchased"),"Received",IF(BOM!R37="Purchased – Not Received","Ordered",IF(BOM!R37="Finalized – Not Purchased","Design Released","In Design"))))</f>
        <v/>
      </c>
      <c r="K31" s="52" t="str">
        <f aca="false">IF(OR(BOM!$D37="",BOM!$R37="Cancelled"),"",IF(BOM!W37="","",BOM!W37))</f>
        <v/>
      </c>
    </row>
    <row r="32" customFormat="false" ht="15" hidden="false" customHeight="false" outlineLevel="0" collapsed="false">
      <c r="A32" s="5" t="str">
        <f aca="false">IF(OR(BOM!$D38="",BOM!$R38="Cancelled"),"",IF(BOM!A38="","",BOM!A38))</f>
        <v/>
      </c>
      <c r="B32" s="5" t="str">
        <f aca="false">IF(OR(BOM!$D38="",BOM!$R38="Cancelled"),"",IF(BOM!B38="","",BOM!B38))</f>
        <v/>
      </c>
      <c r="C32" s="5" t="str">
        <f aca="false">IF(OR(BOM!$D38="",BOM!$R38="Cancelled"),"",IF(BOM!C38="","",BOM!C38))</f>
        <v/>
      </c>
      <c r="D32" s="5" t="str">
        <f aca="false">IF(OR(BOM!$D38="",BOM!$R38="Cancelled"),"",IF(BOM!D38="","",BOM!D38))</f>
        <v/>
      </c>
      <c r="E32" s="5" t="str">
        <f aca="false">IF(OR(BOM!$D38="",BOM!$R38="Cancelled"),"",IF(BOM!E38="","",BOM!E38))</f>
        <v/>
      </c>
      <c r="F32" s="5" t="str">
        <f aca="false">IF(OR(BOM!$D38="",BOM!$R38="Cancelled"),"",IF(BOM!F38="","",BOM!F38))</f>
        <v/>
      </c>
      <c r="G32" s="5" t="str">
        <f aca="false">IF(OR(BOM!$D38="",BOM!$R38="Cancelled"),"",IF(BOM!J38="","",BOM!J38))</f>
        <v/>
      </c>
      <c r="H32" s="5" t="str">
        <f aca="false">IF(OR(BOM!$D38="",BOM!$R38="Cancelled"),"",IF(BOM!K38="","",BOM!K38))</f>
        <v/>
      </c>
      <c r="I32" s="5" t="str">
        <f aca="false">IF(OR(BOM!$D38="",BOM!$R38="Cancelled"),"",IF(BOM!M38="","",BOM!M38))</f>
        <v/>
      </c>
      <c r="J32" s="5" t="str">
        <f aca="false">IF(OR(BOM!$D38="",BOM!$R38="Cancelled"),"",IF(OR(BOM!R38="Received",BOM!R38="NSW Purchased"),"Received",IF(BOM!R38="Purchased – Not Received","Ordered",IF(BOM!R38="Finalized – Not Purchased","Design Released","In Design"))))</f>
        <v/>
      </c>
      <c r="K32" s="52" t="str">
        <f aca="false">IF(OR(BOM!$D38="",BOM!$R38="Cancelled"),"",IF(BOM!W38="","",BOM!W38))</f>
        <v/>
      </c>
    </row>
    <row r="33" customFormat="false" ht="15" hidden="false" customHeight="false" outlineLevel="0" collapsed="false">
      <c r="A33" s="5" t="str">
        <f aca="false">IF(OR(BOM!$D39="",BOM!$R39="Cancelled"),"",IF(BOM!A39="","",BOM!A39))</f>
        <v/>
      </c>
      <c r="B33" s="5" t="str">
        <f aca="false">IF(OR(BOM!$D39="",BOM!$R39="Cancelled"),"",IF(BOM!B39="","",BOM!B39))</f>
        <v/>
      </c>
      <c r="C33" s="5" t="str">
        <f aca="false">IF(OR(BOM!$D39="",BOM!$R39="Cancelled"),"",IF(BOM!C39="","",BOM!C39))</f>
        <v/>
      </c>
      <c r="D33" s="5" t="str">
        <f aca="false">IF(OR(BOM!$D39="",BOM!$R39="Cancelled"),"",IF(BOM!D39="","",BOM!D39))</f>
        <v/>
      </c>
      <c r="E33" s="5" t="str">
        <f aca="false">IF(OR(BOM!$D39="",BOM!$R39="Cancelled"),"",IF(BOM!E39="","",BOM!E39))</f>
        <v/>
      </c>
      <c r="F33" s="5" t="str">
        <f aca="false">IF(OR(BOM!$D39="",BOM!$R39="Cancelled"),"",IF(BOM!F39="","",BOM!F39))</f>
        <v/>
      </c>
      <c r="G33" s="5" t="str">
        <f aca="false">IF(OR(BOM!$D39="",BOM!$R39="Cancelled"),"",IF(BOM!J39="","",BOM!J39))</f>
        <v/>
      </c>
      <c r="H33" s="5" t="str">
        <f aca="false">IF(OR(BOM!$D39="",BOM!$R39="Cancelled"),"",IF(BOM!K39="","",BOM!K39))</f>
        <v/>
      </c>
      <c r="I33" s="5" t="str">
        <f aca="false">IF(OR(BOM!$D39="",BOM!$R39="Cancelled"),"",IF(BOM!M39="","",BOM!M39))</f>
        <v/>
      </c>
      <c r="J33" s="5" t="str">
        <f aca="false">IF(OR(BOM!$D39="",BOM!$R39="Cancelled"),"",IF(OR(BOM!R39="Received",BOM!R39="NSW Purchased"),"Received",IF(BOM!R39="Purchased – Not Received","Ordered",IF(BOM!R39="Finalized – Not Purchased","Design Released","In Design"))))</f>
        <v/>
      </c>
      <c r="K33" s="52" t="str">
        <f aca="false">IF(OR(BOM!$D39="",BOM!$R39="Cancelled"),"",IF(BOM!W39="","",BOM!W39))</f>
        <v/>
      </c>
    </row>
    <row r="34" customFormat="false" ht="15" hidden="false" customHeight="false" outlineLevel="0" collapsed="false">
      <c r="A34" s="5" t="str">
        <f aca="false">IF(OR(BOM!$D40="",BOM!$R40="Cancelled"),"",IF(BOM!A40="","",BOM!A40))</f>
        <v/>
      </c>
      <c r="B34" s="5" t="str">
        <f aca="false">IF(OR(BOM!$D40="",BOM!$R40="Cancelled"),"",IF(BOM!B40="","",BOM!B40))</f>
        <v/>
      </c>
      <c r="C34" s="5" t="str">
        <f aca="false">IF(OR(BOM!$D40="",BOM!$R40="Cancelled"),"",IF(BOM!C40="","",BOM!C40))</f>
        <v/>
      </c>
      <c r="D34" s="5" t="str">
        <f aca="false">IF(OR(BOM!$D40="",BOM!$R40="Cancelled"),"",IF(BOM!D40="","",BOM!D40))</f>
        <v/>
      </c>
      <c r="E34" s="5" t="str">
        <f aca="false">IF(OR(BOM!$D40="",BOM!$R40="Cancelled"),"",IF(BOM!E40="","",BOM!E40))</f>
        <v/>
      </c>
      <c r="F34" s="5" t="str">
        <f aca="false">IF(OR(BOM!$D40="",BOM!$R40="Cancelled"),"",IF(BOM!F40="","",BOM!F40))</f>
        <v/>
      </c>
      <c r="G34" s="5" t="str">
        <f aca="false">IF(OR(BOM!$D40="",BOM!$R40="Cancelled"),"",IF(BOM!J40="","",BOM!J40))</f>
        <v/>
      </c>
      <c r="H34" s="5" t="str">
        <f aca="false">IF(OR(BOM!$D40="",BOM!$R40="Cancelled"),"",IF(BOM!K40="","",BOM!K40))</f>
        <v/>
      </c>
      <c r="I34" s="5" t="str">
        <f aca="false">IF(OR(BOM!$D40="",BOM!$R40="Cancelled"),"",IF(BOM!M40="","",BOM!M40))</f>
        <v/>
      </c>
      <c r="J34" s="5" t="str">
        <f aca="false">IF(OR(BOM!$D40="",BOM!$R40="Cancelled"),"",IF(OR(BOM!R40="Received",BOM!R40="NSW Purchased"),"Received",IF(BOM!R40="Purchased – Not Received","Ordered",IF(BOM!R40="Finalized – Not Purchased","Design Released","In Design"))))</f>
        <v/>
      </c>
      <c r="K34" s="52" t="str">
        <f aca="false">IF(OR(BOM!$D40="",BOM!$R40="Cancelled"),"",IF(BOM!W40="","",BOM!W40))</f>
        <v/>
      </c>
    </row>
    <row r="35" customFormat="false" ht="15" hidden="false" customHeight="false" outlineLevel="0" collapsed="false">
      <c r="A35" s="5" t="str">
        <f aca="false">IF(OR(BOM!$D41="",BOM!$R41="Cancelled"),"",IF(BOM!A41="","",BOM!A41))</f>
        <v/>
      </c>
      <c r="B35" s="5" t="str">
        <f aca="false">IF(OR(BOM!$D41="",BOM!$R41="Cancelled"),"",IF(BOM!B41="","",BOM!B41))</f>
        <v/>
      </c>
      <c r="C35" s="5" t="str">
        <f aca="false">IF(OR(BOM!$D41="",BOM!$R41="Cancelled"),"",IF(BOM!C41="","",BOM!C41))</f>
        <v/>
      </c>
      <c r="D35" s="5" t="str">
        <f aca="false">IF(OR(BOM!$D41="",BOM!$R41="Cancelled"),"",IF(BOM!D41="","",BOM!D41))</f>
        <v/>
      </c>
      <c r="E35" s="5" t="str">
        <f aca="false">IF(OR(BOM!$D41="",BOM!$R41="Cancelled"),"",IF(BOM!E41="","",BOM!E41))</f>
        <v/>
      </c>
      <c r="F35" s="5" t="str">
        <f aca="false">IF(OR(BOM!$D41="",BOM!$R41="Cancelled"),"",IF(BOM!F41="","",BOM!F41))</f>
        <v/>
      </c>
      <c r="G35" s="5" t="str">
        <f aca="false">IF(OR(BOM!$D41="",BOM!$R41="Cancelled"),"",IF(BOM!J41="","",BOM!J41))</f>
        <v/>
      </c>
      <c r="H35" s="5" t="str">
        <f aca="false">IF(OR(BOM!$D41="",BOM!$R41="Cancelled"),"",IF(BOM!K41="","",BOM!K41))</f>
        <v/>
      </c>
      <c r="I35" s="5" t="str">
        <f aca="false">IF(OR(BOM!$D41="",BOM!$R41="Cancelled"),"",IF(BOM!M41="","",BOM!M41))</f>
        <v/>
      </c>
      <c r="J35" s="5" t="str">
        <f aca="false">IF(OR(BOM!$D41="",BOM!$R41="Cancelled"),"",IF(OR(BOM!R41="Received",BOM!R41="NSW Purchased"),"Received",IF(BOM!R41="Purchased – Not Received","Ordered",IF(BOM!R41="Finalized – Not Purchased","Design Released","In Design"))))</f>
        <v/>
      </c>
      <c r="K35" s="52" t="str">
        <f aca="false">IF(OR(BOM!$D41="",BOM!$R41="Cancelled"),"",IF(BOM!W41="","",BOM!W41))</f>
        <v/>
      </c>
    </row>
    <row r="36" customFormat="false" ht="15" hidden="false" customHeight="false" outlineLevel="0" collapsed="false">
      <c r="A36" s="5" t="str">
        <f aca="false">IF(OR(BOM!$D42="",BOM!$R42="Cancelled"),"",IF(BOM!A42="","",BOM!A42))</f>
        <v/>
      </c>
      <c r="B36" s="5" t="str">
        <f aca="false">IF(OR(BOM!$D42="",BOM!$R42="Cancelled"),"",IF(BOM!B42="","",BOM!B42))</f>
        <v/>
      </c>
      <c r="C36" s="5" t="str">
        <f aca="false">IF(OR(BOM!$D42="",BOM!$R42="Cancelled"),"",IF(BOM!C42="","",BOM!C42))</f>
        <v/>
      </c>
      <c r="D36" s="5" t="str">
        <f aca="false">IF(OR(BOM!$D42="",BOM!$R42="Cancelled"),"",IF(BOM!D42="","",BOM!D42))</f>
        <v/>
      </c>
      <c r="E36" s="5" t="str">
        <f aca="false">IF(OR(BOM!$D42="",BOM!$R42="Cancelled"),"",IF(BOM!E42="","",BOM!E42))</f>
        <v/>
      </c>
      <c r="F36" s="5" t="str">
        <f aca="false">IF(OR(BOM!$D42="",BOM!$R42="Cancelled"),"",IF(BOM!F42="","",BOM!F42))</f>
        <v/>
      </c>
      <c r="G36" s="5" t="str">
        <f aca="false">IF(OR(BOM!$D42="",BOM!$R42="Cancelled"),"",IF(BOM!J42="","",BOM!J42))</f>
        <v/>
      </c>
      <c r="H36" s="5" t="str">
        <f aca="false">IF(OR(BOM!$D42="",BOM!$R42="Cancelled"),"",IF(BOM!K42="","",BOM!K42))</f>
        <v/>
      </c>
      <c r="I36" s="5" t="str">
        <f aca="false">IF(OR(BOM!$D42="",BOM!$R42="Cancelled"),"",IF(BOM!M42="","",BOM!M42))</f>
        <v/>
      </c>
      <c r="J36" s="5" t="str">
        <f aca="false">IF(OR(BOM!$D42="",BOM!$R42="Cancelled"),"",IF(OR(BOM!R42="Received",BOM!R42="NSW Purchased"),"Received",IF(BOM!R42="Purchased – Not Received","Ordered",IF(BOM!R42="Finalized – Not Purchased","Design Released","In Design"))))</f>
        <v/>
      </c>
      <c r="K36" s="52" t="str">
        <f aca="false">IF(OR(BOM!$D42="",BOM!$R42="Cancelled"),"",IF(BOM!W42="","",BOM!W42))</f>
        <v/>
      </c>
    </row>
    <row r="37" customFormat="false" ht="15" hidden="false" customHeight="false" outlineLevel="0" collapsed="false">
      <c r="A37" s="5" t="str">
        <f aca="false">IF(OR(BOM!$D43="",BOM!$R43="Cancelled"),"",IF(BOM!A43="","",BOM!A43))</f>
        <v/>
      </c>
      <c r="B37" s="5" t="str">
        <f aca="false">IF(OR(BOM!$D43="",BOM!$R43="Cancelled"),"",IF(BOM!B43="","",BOM!B43))</f>
        <v/>
      </c>
      <c r="C37" s="5" t="str">
        <f aca="false">IF(OR(BOM!$D43="",BOM!$R43="Cancelled"),"",IF(BOM!C43="","",BOM!C43))</f>
        <v/>
      </c>
      <c r="D37" s="5" t="str">
        <f aca="false">IF(OR(BOM!$D43="",BOM!$R43="Cancelled"),"",IF(BOM!D43="","",BOM!D43))</f>
        <v/>
      </c>
      <c r="E37" s="5" t="str">
        <f aca="false">IF(OR(BOM!$D43="",BOM!$R43="Cancelled"),"",IF(BOM!E43="","",BOM!E43))</f>
        <v/>
      </c>
      <c r="F37" s="5" t="str">
        <f aca="false">IF(OR(BOM!$D43="",BOM!$R43="Cancelled"),"",IF(BOM!F43="","",BOM!F43))</f>
        <v/>
      </c>
      <c r="G37" s="5" t="str">
        <f aca="false">IF(OR(BOM!$D43="",BOM!$R43="Cancelled"),"",IF(BOM!J43="","",BOM!J43))</f>
        <v/>
      </c>
      <c r="H37" s="5" t="str">
        <f aca="false">IF(OR(BOM!$D43="",BOM!$R43="Cancelled"),"",IF(BOM!K43="","",BOM!K43))</f>
        <v/>
      </c>
      <c r="I37" s="5" t="str">
        <f aca="false">IF(OR(BOM!$D43="",BOM!$R43="Cancelled"),"",IF(BOM!M43="","",BOM!M43))</f>
        <v/>
      </c>
      <c r="J37" s="5" t="str">
        <f aca="false">IF(OR(BOM!$D43="",BOM!$R43="Cancelled"),"",IF(OR(BOM!R43="Received",BOM!R43="NSW Purchased"),"Received",IF(BOM!R43="Purchased – Not Received","Ordered",IF(BOM!R43="Finalized – Not Purchased","Design Released","In Design"))))</f>
        <v/>
      </c>
      <c r="K37" s="52" t="str">
        <f aca="false">IF(OR(BOM!$D43="",BOM!$R43="Cancelled"),"",IF(BOM!W43="","",BOM!W43))</f>
        <v/>
      </c>
    </row>
    <row r="38" customFormat="false" ht="15" hidden="false" customHeight="false" outlineLevel="0" collapsed="false">
      <c r="A38" s="5" t="str">
        <f aca="false">IF(OR(BOM!$D44="",BOM!$R44="Cancelled"),"",IF(BOM!A44="","",BOM!A44))</f>
        <v/>
      </c>
      <c r="B38" s="5" t="str">
        <f aca="false">IF(OR(BOM!$D44="",BOM!$R44="Cancelled"),"",IF(BOM!B44="","",BOM!B44))</f>
        <v/>
      </c>
      <c r="C38" s="5" t="str">
        <f aca="false">IF(OR(BOM!$D44="",BOM!$R44="Cancelled"),"",IF(BOM!C44="","",BOM!C44))</f>
        <v/>
      </c>
      <c r="D38" s="5" t="str">
        <f aca="false">IF(OR(BOM!$D44="",BOM!$R44="Cancelled"),"",IF(BOM!D44="","",BOM!D44))</f>
        <v/>
      </c>
      <c r="E38" s="5" t="str">
        <f aca="false">IF(OR(BOM!$D44="",BOM!$R44="Cancelled"),"",IF(BOM!E44="","",BOM!E44))</f>
        <v/>
      </c>
      <c r="F38" s="5" t="str">
        <f aca="false">IF(OR(BOM!$D44="",BOM!$R44="Cancelled"),"",IF(BOM!F44="","",BOM!F44))</f>
        <v/>
      </c>
      <c r="G38" s="5" t="str">
        <f aca="false">IF(OR(BOM!$D44="",BOM!$R44="Cancelled"),"",IF(BOM!J44="","",BOM!J44))</f>
        <v/>
      </c>
      <c r="H38" s="5" t="str">
        <f aca="false">IF(OR(BOM!$D44="",BOM!$R44="Cancelled"),"",IF(BOM!K44="","",BOM!K44))</f>
        <v/>
      </c>
      <c r="I38" s="5" t="str">
        <f aca="false">IF(OR(BOM!$D44="",BOM!$R44="Cancelled"),"",IF(BOM!M44="","",BOM!M44))</f>
        <v/>
      </c>
      <c r="J38" s="5" t="str">
        <f aca="false">IF(OR(BOM!$D44="",BOM!$R44="Cancelled"),"",IF(OR(BOM!R44="Received",BOM!R44="NSW Purchased"),"Received",IF(BOM!R44="Purchased – Not Received","Ordered",IF(BOM!R44="Finalized – Not Purchased","Design Released","In Design"))))</f>
        <v/>
      </c>
      <c r="K38" s="52" t="str">
        <f aca="false">IF(OR(BOM!$D44="",BOM!$R44="Cancelled"),"",IF(BOM!W44="","",BOM!W44))</f>
        <v/>
      </c>
    </row>
    <row r="39" customFormat="false" ht="15" hidden="false" customHeight="false" outlineLevel="0" collapsed="false">
      <c r="A39" s="5" t="str">
        <f aca="false">IF(OR(BOM!$D45="",BOM!$R45="Cancelled"),"",IF(BOM!A45="","",BOM!A45))</f>
        <v/>
      </c>
      <c r="B39" s="5" t="str">
        <f aca="false">IF(OR(BOM!$D45="",BOM!$R45="Cancelled"),"",IF(BOM!B45="","",BOM!B45))</f>
        <v/>
      </c>
      <c r="C39" s="5" t="str">
        <f aca="false">IF(OR(BOM!$D45="",BOM!$R45="Cancelled"),"",IF(BOM!C45="","",BOM!C45))</f>
        <v/>
      </c>
      <c r="D39" s="5" t="str">
        <f aca="false">IF(OR(BOM!$D45="",BOM!$R45="Cancelled"),"",IF(BOM!D45="","",BOM!D45))</f>
        <v/>
      </c>
      <c r="E39" s="5" t="str">
        <f aca="false">IF(OR(BOM!$D45="",BOM!$R45="Cancelled"),"",IF(BOM!E45="","",BOM!E45))</f>
        <v/>
      </c>
      <c r="F39" s="5" t="str">
        <f aca="false">IF(OR(BOM!$D45="",BOM!$R45="Cancelled"),"",IF(BOM!F45="","",BOM!F45))</f>
        <v/>
      </c>
      <c r="G39" s="5" t="str">
        <f aca="false">IF(OR(BOM!$D45="",BOM!$R45="Cancelled"),"",IF(BOM!J45="","",BOM!J45))</f>
        <v/>
      </c>
      <c r="H39" s="5" t="str">
        <f aca="false">IF(OR(BOM!$D45="",BOM!$R45="Cancelled"),"",IF(BOM!K45="","",BOM!K45))</f>
        <v/>
      </c>
      <c r="I39" s="5" t="str">
        <f aca="false">IF(OR(BOM!$D45="",BOM!$R45="Cancelled"),"",IF(BOM!M45="","",BOM!M45))</f>
        <v/>
      </c>
      <c r="J39" s="5" t="str">
        <f aca="false">IF(OR(BOM!$D45="",BOM!$R45="Cancelled"),"",IF(OR(BOM!R45="Received",BOM!R45="NSW Purchased"),"Received",IF(BOM!R45="Purchased – Not Received","Ordered",IF(BOM!R45="Finalized – Not Purchased","Design Released","In Design"))))</f>
        <v/>
      </c>
      <c r="K39" s="52" t="str">
        <f aca="false">IF(OR(BOM!$D45="",BOM!$R45="Cancelled"),"",IF(BOM!W45="","",BOM!W45))</f>
        <v/>
      </c>
    </row>
    <row r="40" customFormat="false" ht="15" hidden="false" customHeight="false" outlineLevel="0" collapsed="false">
      <c r="A40" s="5" t="str">
        <f aca="false">IF(OR(BOM!$D46="",BOM!$R46="Cancelled"),"",IF(BOM!A46="","",BOM!A46))</f>
        <v/>
      </c>
      <c r="B40" s="5" t="str">
        <f aca="false">IF(OR(BOM!$D46="",BOM!$R46="Cancelled"),"",IF(BOM!B46="","",BOM!B46))</f>
        <v/>
      </c>
      <c r="C40" s="5" t="str">
        <f aca="false">IF(OR(BOM!$D46="",BOM!$R46="Cancelled"),"",IF(BOM!C46="","",BOM!C46))</f>
        <v/>
      </c>
      <c r="D40" s="5" t="str">
        <f aca="false">IF(OR(BOM!$D46="",BOM!$R46="Cancelled"),"",IF(BOM!D46="","",BOM!D46))</f>
        <v/>
      </c>
      <c r="E40" s="5" t="str">
        <f aca="false">IF(OR(BOM!$D46="",BOM!$R46="Cancelled"),"",IF(BOM!E46="","",BOM!E46))</f>
        <v/>
      </c>
      <c r="F40" s="5" t="str">
        <f aca="false">IF(OR(BOM!$D46="",BOM!$R46="Cancelled"),"",IF(BOM!F46="","",BOM!F46))</f>
        <v/>
      </c>
      <c r="G40" s="5" t="str">
        <f aca="false">IF(OR(BOM!$D46="",BOM!$R46="Cancelled"),"",IF(BOM!J46="","",BOM!J46))</f>
        <v/>
      </c>
      <c r="H40" s="5" t="str">
        <f aca="false">IF(OR(BOM!$D46="",BOM!$R46="Cancelled"),"",IF(BOM!K46="","",BOM!K46))</f>
        <v/>
      </c>
      <c r="I40" s="5" t="str">
        <f aca="false">IF(OR(BOM!$D46="",BOM!$R46="Cancelled"),"",IF(BOM!M46="","",BOM!M46))</f>
        <v/>
      </c>
      <c r="J40" s="5" t="str">
        <f aca="false">IF(OR(BOM!$D46="",BOM!$R46="Cancelled"),"",IF(OR(BOM!R46="Received",BOM!R46="NSW Purchased"),"Received",IF(BOM!R46="Purchased – Not Received","Ordered",IF(BOM!R46="Finalized – Not Purchased","Design Released","In Design"))))</f>
        <v/>
      </c>
      <c r="K40" s="52" t="str">
        <f aca="false">IF(OR(BOM!$D46="",BOM!$R46="Cancelled"),"",IF(BOM!W46="","",BOM!W46))</f>
        <v/>
      </c>
    </row>
    <row r="41" customFormat="false" ht="15" hidden="false" customHeight="false" outlineLevel="0" collapsed="false">
      <c r="A41" s="5" t="str">
        <f aca="false">IF(OR(BOM!$D47="",BOM!$R47="Cancelled"),"",IF(BOM!A47="","",BOM!A47))</f>
        <v/>
      </c>
      <c r="B41" s="5" t="str">
        <f aca="false">IF(OR(BOM!$D47="",BOM!$R47="Cancelled"),"",IF(BOM!B47="","",BOM!B47))</f>
        <v/>
      </c>
      <c r="C41" s="5" t="str">
        <f aca="false">IF(OR(BOM!$D47="",BOM!$R47="Cancelled"),"",IF(BOM!C47="","",BOM!C47))</f>
        <v/>
      </c>
      <c r="D41" s="5" t="str">
        <f aca="false">IF(OR(BOM!$D47="",BOM!$R47="Cancelled"),"",IF(BOM!D47="","",BOM!D47))</f>
        <v/>
      </c>
      <c r="E41" s="5" t="str">
        <f aca="false">IF(OR(BOM!$D47="",BOM!$R47="Cancelled"),"",IF(BOM!E47="","",BOM!E47))</f>
        <v/>
      </c>
      <c r="F41" s="5" t="str">
        <f aca="false">IF(OR(BOM!$D47="",BOM!$R47="Cancelled"),"",IF(BOM!F47="","",BOM!F47))</f>
        <v/>
      </c>
      <c r="G41" s="5" t="str">
        <f aca="false">IF(OR(BOM!$D47="",BOM!$R47="Cancelled"),"",IF(BOM!J47="","",BOM!J47))</f>
        <v/>
      </c>
      <c r="H41" s="5" t="str">
        <f aca="false">IF(OR(BOM!$D47="",BOM!$R47="Cancelled"),"",IF(BOM!K47="","",BOM!K47))</f>
        <v/>
      </c>
      <c r="I41" s="5" t="str">
        <f aca="false">IF(OR(BOM!$D47="",BOM!$R47="Cancelled"),"",IF(BOM!M47="","",BOM!M47))</f>
        <v/>
      </c>
      <c r="J41" s="5" t="str">
        <f aca="false">IF(OR(BOM!$D47="",BOM!$R47="Cancelled"),"",IF(OR(BOM!R47="Received",BOM!R47="NSW Purchased"),"Received",IF(BOM!R47="Purchased – Not Received","Ordered",IF(BOM!R47="Finalized – Not Purchased","Design Released","In Design"))))</f>
        <v/>
      </c>
      <c r="K41" s="52" t="str">
        <f aca="false">IF(OR(BOM!$D47="",BOM!$R47="Cancelled"),"",IF(BOM!W47="","",BOM!W47))</f>
        <v/>
      </c>
    </row>
    <row r="42" customFormat="false" ht="15" hidden="false" customHeight="false" outlineLevel="0" collapsed="false">
      <c r="A42" s="5" t="str">
        <f aca="false">IF(OR(BOM!$D48="",BOM!$R48="Cancelled"),"",IF(BOM!A48="","",BOM!A48))</f>
        <v/>
      </c>
      <c r="B42" s="5" t="str">
        <f aca="false">IF(OR(BOM!$D48="",BOM!$R48="Cancelled"),"",IF(BOM!B48="","",BOM!B48))</f>
        <v/>
      </c>
      <c r="C42" s="5" t="str">
        <f aca="false">IF(OR(BOM!$D48="",BOM!$R48="Cancelled"),"",IF(BOM!C48="","",BOM!C48))</f>
        <v/>
      </c>
      <c r="D42" s="5" t="str">
        <f aca="false">IF(OR(BOM!$D48="",BOM!$R48="Cancelled"),"",IF(BOM!D48="","",BOM!D48))</f>
        <v/>
      </c>
      <c r="E42" s="5" t="str">
        <f aca="false">IF(OR(BOM!$D48="",BOM!$R48="Cancelled"),"",IF(BOM!E48="","",BOM!E48))</f>
        <v/>
      </c>
      <c r="F42" s="5" t="str">
        <f aca="false">IF(OR(BOM!$D48="",BOM!$R48="Cancelled"),"",IF(BOM!F48="","",BOM!F48))</f>
        <v/>
      </c>
      <c r="G42" s="5" t="str">
        <f aca="false">IF(OR(BOM!$D48="",BOM!$R48="Cancelled"),"",IF(BOM!J48="","",BOM!J48))</f>
        <v/>
      </c>
      <c r="H42" s="5" t="str">
        <f aca="false">IF(OR(BOM!$D48="",BOM!$R48="Cancelled"),"",IF(BOM!K48="","",BOM!K48))</f>
        <v/>
      </c>
      <c r="I42" s="5" t="str">
        <f aca="false">IF(OR(BOM!$D48="",BOM!$R48="Cancelled"),"",IF(BOM!M48="","",BOM!M48))</f>
        <v/>
      </c>
      <c r="J42" s="5" t="str">
        <f aca="false">IF(OR(BOM!$D48="",BOM!$R48="Cancelled"),"",IF(OR(BOM!R48="Received",BOM!R48="NSW Purchased"),"Received",IF(BOM!R48="Purchased – Not Received","Ordered",IF(BOM!R48="Finalized – Not Purchased","Design Released","In Design"))))</f>
        <v/>
      </c>
      <c r="K42" s="52" t="str">
        <f aca="false">IF(OR(BOM!$D48="",BOM!$R48="Cancelled"),"",IF(BOM!W48="","",BOM!W48))</f>
        <v/>
      </c>
    </row>
    <row r="43" customFormat="false" ht="15" hidden="false" customHeight="false" outlineLevel="0" collapsed="false">
      <c r="A43" s="5" t="str">
        <f aca="false">IF(OR(BOM!$D49="",BOM!$R49="Cancelled"),"",IF(BOM!A49="","",BOM!A49))</f>
        <v/>
      </c>
      <c r="B43" s="5" t="str">
        <f aca="false">IF(OR(BOM!$D49="",BOM!$R49="Cancelled"),"",IF(BOM!B49="","",BOM!B49))</f>
        <v/>
      </c>
      <c r="C43" s="5" t="str">
        <f aca="false">IF(OR(BOM!$D49="",BOM!$R49="Cancelled"),"",IF(BOM!C49="","",BOM!C49))</f>
        <v/>
      </c>
      <c r="D43" s="5" t="str">
        <f aca="false">IF(OR(BOM!$D49="",BOM!$R49="Cancelled"),"",IF(BOM!D49="","",BOM!D49))</f>
        <v/>
      </c>
      <c r="E43" s="5" t="str">
        <f aca="false">IF(OR(BOM!$D49="",BOM!$R49="Cancelled"),"",IF(BOM!E49="","",BOM!E49))</f>
        <v/>
      </c>
      <c r="F43" s="5" t="str">
        <f aca="false">IF(OR(BOM!$D49="",BOM!$R49="Cancelled"),"",IF(BOM!F49="","",BOM!F49))</f>
        <v/>
      </c>
      <c r="G43" s="5" t="str">
        <f aca="false">IF(OR(BOM!$D49="",BOM!$R49="Cancelled"),"",IF(BOM!J49="","",BOM!J49))</f>
        <v/>
      </c>
      <c r="H43" s="5" t="str">
        <f aca="false">IF(OR(BOM!$D49="",BOM!$R49="Cancelled"),"",IF(BOM!K49="","",BOM!K49))</f>
        <v/>
      </c>
      <c r="I43" s="5" t="str">
        <f aca="false">IF(OR(BOM!$D49="",BOM!$R49="Cancelled"),"",IF(BOM!M49="","",BOM!M49))</f>
        <v/>
      </c>
      <c r="J43" s="5" t="str">
        <f aca="false">IF(OR(BOM!$D49="",BOM!$R49="Cancelled"),"",IF(OR(BOM!R49="Received",BOM!R49="NSW Purchased"),"Received",IF(BOM!R49="Purchased – Not Received","Ordered",IF(BOM!R49="Finalized – Not Purchased","Design Released","In Design"))))</f>
        <v/>
      </c>
      <c r="K43" s="52" t="str">
        <f aca="false">IF(OR(BOM!$D49="",BOM!$R49="Cancelled"),"",IF(BOM!W49="","",BOM!W49))</f>
        <v/>
      </c>
    </row>
    <row r="44" customFormat="false" ht="15" hidden="false" customHeight="false" outlineLevel="0" collapsed="false">
      <c r="A44" s="5" t="str">
        <f aca="false">IF(OR(BOM!$D50="",BOM!$R50="Cancelled"),"",IF(BOM!A50="","",BOM!A50))</f>
        <v/>
      </c>
      <c r="B44" s="5" t="str">
        <f aca="false">IF(OR(BOM!$D50="",BOM!$R50="Cancelled"),"",IF(BOM!B50="","",BOM!B50))</f>
        <v/>
      </c>
      <c r="C44" s="5" t="str">
        <f aca="false">IF(OR(BOM!$D50="",BOM!$R50="Cancelled"),"",IF(BOM!C50="","",BOM!C50))</f>
        <v/>
      </c>
      <c r="D44" s="5" t="str">
        <f aca="false">IF(OR(BOM!$D50="",BOM!$R50="Cancelled"),"",IF(BOM!D50="","",BOM!D50))</f>
        <v/>
      </c>
      <c r="E44" s="5" t="str">
        <f aca="false">IF(OR(BOM!$D50="",BOM!$R50="Cancelled"),"",IF(BOM!E50="","",BOM!E50))</f>
        <v/>
      </c>
      <c r="F44" s="5" t="str">
        <f aca="false">IF(OR(BOM!$D50="",BOM!$R50="Cancelled"),"",IF(BOM!F50="","",BOM!F50))</f>
        <v/>
      </c>
      <c r="G44" s="5" t="str">
        <f aca="false">IF(OR(BOM!$D50="",BOM!$R50="Cancelled"),"",IF(BOM!J50="","",BOM!J50))</f>
        <v/>
      </c>
      <c r="H44" s="5" t="str">
        <f aca="false">IF(OR(BOM!$D50="",BOM!$R50="Cancelled"),"",IF(BOM!K50="","",BOM!K50))</f>
        <v/>
      </c>
      <c r="I44" s="5" t="str">
        <f aca="false">IF(OR(BOM!$D50="",BOM!$R50="Cancelled"),"",IF(BOM!M50="","",BOM!M50))</f>
        <v/>
      </c>
      <c r="J44" s="5" t="str">
        <f aca="false">IF(OR(BOM!$D50="",BOM!$R50="Cancelled"),"",IF(OR(BOM!R50="Received",BOM!R50="NSW Purchased"),"Received",IF(BOM!R50="Purchased – Not Received","Ordered",IF(BOM!R50="Finalized – Not Purchased","Design Released","In Design"))))</f>
        <v/>
      </c>
      <c r="K44" s="52" t="str">
        <f aca="false">IF(OR(BOM!$D50="",BOM!$R50="Cancelled"),"",IF(BOM!W50="","",BOM!W50))</f>
        <v/>
      </c>
    </row>
    <row r="45" customFormat="false" ht="15" hidden="false" customHeight="false" outlineLevel="0" collapsed="false">
      <c r="A45" s="5" t="str">
        <f aca="false">IF(OR(BOM!$D51="",BOM!$R51="Cancelled"),"",IF(BOM!A51="","",BOM!A51))</f>
        <v/>
      </c>
      <c r="B45" s="5" t="str">
        <f aca="false">IF(OR(BOM!$D51="",BOM!$R51="Cancelled"),"",IF(BOM!B51="","",BOM!B51))</f>
        <v/>
      </c>
      <c r="C45" s="5" t="str">
        <f aca="false">IF(OR(BOM!$D51="",BOM!$R51="Cancelled"),"",IF(BOM!C51="","",BOM!C51))</f>
        <v/>
      </c>
      <c r="D45" s="5" t="str">
        <f aca="false">IF(OR(BOM!$D51="",BOM!$R51="Cancelled"),"",IF(BOM!D51="","",BOM!D51))</f>
        <v/>
      </c>
      <c r="E45" s="5" t="str">
        <f aca="false">IF(OR(BOM!$D51="",BOM!$R51="Cancelled"),"",IF(BOM!E51="","",BOM!E51))</f>
        <v/>
      </c>
      <c r="F45" s="5" t="str">
        <f aca="false">IF(OR(BOM!$D51="",BOM!$R51="Cancelled"),"",IF(BOM!F51="","",BOM!F51))</f>
        <v/>
      </c>
      <c r="G45" s="5" t="str">
        <f aca="false">IF(OR(BOM!$D51="",BOM!$R51="Cancelled"),"",IF(BOM!J51="","",BOM!J51))</f>
        <v/>
      </c>
      <c r="H45" s="5" t="str">
        <f aca="false">IF(OR(BOM!$D51="",BOM!$R51="Cancelled"),"",IF(BOM!K51="","",BOM!K51))</f>
        <v/>
      </c>
      <c r="I45" s="5" t="str">
        <f aca="false">IF(OR(BOM!$D51="",BOM!$R51="Cancelled"),"",IF(BOM!M51="","",BOM!M51))</f>
        <v/>
      </c>
      <c r="J45" s="5" t="str">
        <f aca="false">IF(OR(BOM!$D51="",BOM!$R51="Cancelled"),"",IF(OR(BOM!R51="Received",BOM!R51="NSW Purchased"),"Received",IF(BOM!R51="Purchased – Not Received","Ordered",IF(BOM!R51="Finalized – Not Purchased","Design Released","In Design"))))</f>
        <v/>
      </c>
      <c r="K45" s="52" t="str">
        <f aca="false">IF(OR(BOM!$D51="",BOM!$R51="Cancelled"),"",IF(BOM!W51="","",BOM!W51))</f>
        <v/>
      </c>
    </row>
    <row r="46" customFormat="false" ht="15" hidden="false" customHeight="false" outlineLevel="0" collapsed="false">
      <c r="A46" s="5" t="str">
        <f aca="false">IF(OR(BOM!$D52="",BOM!$R52="Cancelled"),"",IF(BOM!A52="","",BOM!A52))</f>
        <v/>
      </c>
      <c r="B46" s="5" t="str">
        <f aca="false">IF(OR(BOM!$D52="",BOM!$R52="Cancelled"),"",IF(BOM!B52="","",BOM!B52))</f>
        <v/>
      </c>
      <c r="C46" s="5" t="str">
        <f aca="false">IF(OR(BOM!$D52="",BOM!$R52="Cancelled"),"",IF(BOM!C52="","",BOM!C52))</f>
        <v/>
      </c>
      <c r="D46" s="5" t="str">
        <f aca="false">IF(OR(BOM!$D52="",BOM!$R52="Cancelled"),"",IF(BOM!D52="","",BOM!D52))</f>
        <v/>
      </c>
      <c r="E46" s="5" t="str">
        <f aca="false">IF(OR(BOM!$D52="",BOM!$R52="Cancelled"),"",IF(BOM!E52="","",BOM!E52))</f>
        <v/>
      </c>
      <c r="F46" s="5" t="str">
        <f aca="false">IF(OR(BOM!$D52="",BOM!$R52="Cancelled"),"",IF(BOM!F52="","",BOM!F52))</f>
        <v/>
      </c>
      <c r="G46" s="5" t="str">
        <f aca="false">IF(OR(BOM!$D52="",BOM!$R52="Cancelled"),"",IF(BOM!J52="","",BOM!J52))</f>
        <v/>
      </c>
      <c r="H46" s="5" t="str">
        <f aca="false">IF(OR(BOM!$D52="",BOM!$R52="Cancelled"),"",IF(BOM!K52="","",BOM!K52))</f>
        <v/>
      </c>
      <c r="I46" s="5" t="str">
        <f aca="false">IF(OR(BOM!$D52="",BOM!$R52="Cancelled"),"",IF(BOM!M52="","",BOM!M52))</f>
        <v/>
      </c>
      <c r="J46" s="5" t="str">
        <f aca="false">IF(OR(BOM!$D52="",BOM!$R52="Cancelled"),"",IF(OR(BOM!R52="Received",BOM!R52="NSW Purchased"),"Received",IF(BOM!R52="Purchased – Not Received","Ordered",IF(BOM!R52="Finalized – Not Purchased","Design Released","In Design"))))</f>
        <v/>
      </c>
      <c r="K46" s="52" t="str">
        <f aca="false">IF(OR(BOM!$D52="",BOM!$R52="Cancelled"),"",IF(BOM!W52="","",BOM!W52))</f>
        <v/>
      </c>
    </row>
    <row r="47" customFormat="false" ht="15" hidden="false" customHeight="false" outlineLevel="0" collapsed="false">
      <c r="A47" s="5" t="str">
        <f aca="false">IF(OR(BOM!$D53="",BOM!$R53="Cancelled"),"",IF(BOM!A53="","",BOM!A53))</f>
        <v/>
      </c>
      <c r="B47" s="5" t="str">
        <f aca="false">IF(OR(BOM!$D53="",BOM!$R53="Cancelled"),"",IF(BOM!B53="","",BOM!B53))</f>
        <v/>
      </c>
      <c r="C47" s="5" t="str">
        <f aca="false">IF(OR(BOM!$D53="",BOM!$R53="Cancelled"),"",IF(BOM!C53="","",BOM!C53))</f>
        <v/>
      </c>
      <c r="D47" s="5" t="str">
        <f aca="false">IF(OR(BOM!$D53="",BOM!$R53="Cancelled"),"",IF(BOM!D53="","",BOM!D53))</f>
        <v/>
      </c>
      <c r="E47" s="5" t="str">
        <f aca="false">IF(OR(BOM!$D53="",BOM!$R53="Cancelled"),"",IF(BOM!E53="","",BOM!E53))</f>
        <v/>
      </c>
      <c r="F47" s="5" t="str">
        <f aca="false">IF(OR(BOM!$D53="",BOM!$R53="Cancelled"),"",IF(BOM!F53="","",BOM!F53))</f>
        <v/>
      </c>
      <c r="G47" s="5" t="str">
        <f aca="false">IF(OR(BOM!$D53="",BOM!$R53="Cancelled"),"",IF(BOM!J53="","",BOM!J53))</f>
        <v/>
      </c>
      <c r="H47" s="5" t="str">
        <f aca="false">IF(OR(BOM!$D53="",BOM!$R53="Cancelled"),"",IF(BOM!K53="","",BOM!K53))</f>
        <v/>
      </c>
      <c r="I47" s="5" t="str">
        <f aca="false">IF(OR(BOM!$D53="",BOM!$R53="Cancelled"),"",IF(BOM!M53="","",BOM!M53))</f>
        <v/>
      </c>
      <c r="J47" s="5" t="str">
        <f aca="false">IF(OR(BOM!$D53="",BOM!$R53="Cancelled"),"",IF(OR(BOM!R53="Received",BOM!R53="NSW Purchased"),"Received",IF(BOM!R53="Purchased – Not Received","Ordered",IF(BOM!R53="Finalized – Not Purchased","Design Released","In Design"))))</f>
        <v/>
      </c>
      <c r="K47" s="52" t="str">
        <f aca="false">IF(OR(BOM!$D53="",BOM!$R53="Cancelled"),"",IF(BOM!W53="","",BOM!W53))</f>
        <v/>
      </c>
    </row>
    <row r="48" customFormat="false" ht="15" hidden="false" customHeight="false" outlineLevel="0" collapsed="false">
      <c r="A48" s="5" t="str">
        <f aca="false">IF(OR(BOM!$D54="",BOM!$R54="Cancelled"),"",IF(BOM!A54="","",BOM!A54))</f>
        <v/>
      </c>
      <c r="B48" s="5" t="str">
        <f aca="false">IF(OR(BOM!$D54="",BOM!$R54="Cancelled"),"",IF(BOM!B54="","",BOM!B54))</f>
        <v/>
      </c>
      <c r="C48" s="5" t="str">
        <f aca="false">IF(OR(BOM!$D54="",BOM!$R54="Cancelled"),"",IF(BOM!C54="","",BOM!C54))</f>
        <v/>
      </c>
      <c r="D48" s="5" t="str">
        <f aca="false">IF(OR(BOM!$D54="",BOM!$R54="Cancelled"),"",IF(BOM!D54="","",BOM!D54))</f>
        <v/>
      </c>
      <c r="E48" s="5" t="str">
        <f aca="false">IF(OR(BOM!$D54="",BOM!$R54="Cancelled"),"",IF(BOM!E54="","",BOM!E54))</f>
        <v/>
      </c>
      <c r="F48" s="5" t="str">
        <f aca="false">IF(OR(BOM!$D54="",BOM!$R54="Cancelled"),"",IF(BOM!F54="","",BOM!F54))</f>
        <v/>
      </c>
      <c r="G48" s="5" t="str">
        <f aca="false">IF(OR(BOM!$D54="",BOM!$R54="Cancelled"),"",IF(BOM!J54="","",BOM!J54))</f>
        <v/>
      </c>
      <c r="H48" s="5" t="str">
        <f aca="false">IF(OR(BOM!$D54="",BOM!$R54="Cancelled"),"",IF(BOM!K54="","",BOM!K54))</f>
        <v/>
      </c>
      <c r="I48" s="5" t="str">
        <f aca="false">IF(OR(BOM!$D54="",BOM!$R54="Cancelled"),"",IF(BOM!M54="","",BOM!M54))</f>
        <v/>
      </c>
      <c r="J48" s="5" t="str">
        <f aca="false">IF(OR(BOM!$D54="",BOM!$R54="Cancelled"),"",IF(OR(BOM!R54="Received",BOM!R54="NSW Purchased"),"Received",IF(BOM!R54="Purchased – Not Received","Ordered",IF(BOM!R54="Finalized – Not Purchased","Design Released","In Design"))))</f>
        <v/>
      </c>
      <c r="K48" s="52" t="str">
        <f aca="false">IF(OR(BOM!$D54="",BOM!$R54="Cancelled"),"",IF(BOM!W54="","",BOM!W54))</f>
        <v/>
      </c>
    </row>
    <row r="49" customFormat="false" ht="15" hidden="false" customHeight="false" outlineLevel="0" collapsed="false">
      <c r="A49" s="5" t="str">
        <f aca="false">IF(OR(BOM!$D55="",BOM!$R55="Cancelled"),"",IF(BOM!A55="","",BOM!A55))</f>
        <v/>
      </c>
      <c r="B49" s="5" t="str">
        <f aca="false">IF(OR(BOM!$D55="",BOM!$R55="Cancelled"),"",IF(BOM!B55="","",BOM!B55))</f>
        <v/>
      </c>
      <c r="C49" s="5" t="str">
        <f aca="false">IF(OR(BOM!$D55="",BOM!$R55="Cancelled"),"",IF(BOM!C55="","",BOM!C55))</f>
        <v/>
      </c>
      <c r="D49" s="5" t="str">
        <f aca="false">IF(OR(BOM!$D55="",BOM!$R55="Cancelled"),"",IF(BOM!D55="","",BOM!D55))</f>
        <v/>
      </c>
      <c r="E49" s="5" t="str">
        <f aca="false">IF(OR(BOM!$D55="",BOM!$R55="Cancelled"),"",IF(BOM!E55="","",BOM!E55))</f>
        <v/>
      </c>
      <c r="F49" s="5" t="str">
        <f aca="false">IF(OR(BOM!$D55="",BOM!$R55="Cancelled"),"",IF(BOM!F55="","",BOM!F55))</f>
        <v/>
      </c>
      <c r="G49" s="5" t="str">
        <f aca="false">IF(OR(BOM!$D55="",BOM!$R55="Cancelled"),"",IF(BOM!J55="","",BOM!J55))</f>
        <v/>
      </c>
      <c r="H49" s="5" t="str">
        <f aca="false">IF(OR(BOM!$D55="",BOM!$R55="Cancelled"),"",IF(BOM!K55="","",BOM!K55))</f>
        <v/>
      </c>
      <c r="I49" s="5" t="str">
        <f aca="false">IF(OR(BOM!$D55="",BOM!$R55="Cancelled"),"",IF(BOM!M55="","",BOM!M55))</f>
        <v/>
      </c>
      <c r="J49" s="5" t="str">
        <f aca="false">IF(OR(BOM!$D55="",BOM!$R55="Cancelled"),"",IF(OR(BOM!R55="Received",BOM!R55="NSW Purchased"),"Received",IF(BOM!R55="Purchased – Not Received","Ordered",IF(BOM!R55="Finalized – Not Purchased","Design Released","In Design"))))</f>
        <v/>
      </c>
      <c r="K49" s="52" t="str">
        <f aca="false">IF(OR(BOM!$D55="",BOM!$R55="Cancelled"),"",IF(BOM!W55="","",BOM!W55))</f>
        <v/>
      </c>
    </row>
    <row r="50" customFormat="false" ht="15" hidden="false" customHeight="false" outlineLevel="0" collapsed="false">
      <c r="A50" s="5" t="str">
        <f aca="false">IF(OR(BOM!$D56="",BOM!$R56="Cancelled"),"",IF(BOM!A56="","",BOM!A56))</f>
        <v/>
      </c>
      <c r="B50" s="5" t="str">
        <f aca="false">IF(OR(BOM!$D56="",BOM!$R56="Cancelled"),"",IF(BOM!B56="","",BOM!B56))</f>
        <v/>
      </c>
      <c r="C50" s="5" t="str">
        <f aca="false">IF(OR(BOM!$D56="",BOM!$R56="Cancelled"),"",IF(BOM!C56="","",BOM!C56))</f>
        <v/>
      </c>
      <c r="D50" s="5" t="str">
        <f aca="false">IF(OR(BOM!$D56="",BOM!$R56="Cancelled"),"",IF(BOM!D56="","",BOM!D56))</f>
        <v/>
      </c>
      <c r="E50" s="5" t="str">
        <f aca="false">IF(OR(BOM!$D56="",BOM!$R56="Cancelled"),"",IF(BOM!E56="","",BOM!E56))</f>
        <v/>
      </c>
      <c r="F50" s="5" t="str">
        <f aca="false">IF(OR(BOM!$D56="",BOM!$R56="Cancelled"),"",IF(BOM!F56="","",BOM!F56))</f>
        <v/>
      </c>
      <c r="G50" s="5" t="str">
        <f aca="false">IF(OR(BOM!$D56="",BOM!$R56="Cancelled"),"",IF(BOM!J56="","",BOM!J56))</f>
        <v/>
      </c>
      <c r="H50" s="5" t="str">
        <f aca="false">IF(OR(BOM!$D56="",BOM!$R56="Cancelled"),"",IF(BOM!K56="","",BOM!K56))</f>
        <v/>
      </c>
      <c r="I50" s="5" t="str">
        <f aca="false">IF(OR(BOM!$D56="",BOM!$R56="Cancelled"),"",IF(BOM!M56="","",BOM!M56))</f>
        <v/>
      </c>
      <c r="J50" s="5" t="str">
        <f aca="false">IF(OR(BOM!$D56="",BOM!$R56="Cancelled"),"",IF(OR(BOM!R56="Received",BOM!R56="NSW Purchased"),"Received",IF(BOM!R56="Purchased – Not Received","Ordered",IF(BOM!R56="Finalized – Not Purchased","Design Released","In Design"))))</f>
        <v/>
      </c>
      <c r="K50" s="52" t="str">
        <f aca="false">IF(OR(BOM!$D56="",BOM!$R56="Cancelled"),"",IF(BOM!W56="","",BOM!W56))</f>
        <v/>
      </c>
    </row>
    <row r="51" customFormat="false" ht="15" hidden="false" customHeight="false" outlineLevel="0" collapsed="false">
      <c r="A51" s="5" t="str">
        <f aca="false">IF(OR(BOM!$D57="",BOM!$R57="Cancelled"),"",IF(BOM!A57="","",BOM!A57))</f>
        <v/>
      </c>
      <c r="B51" s="5" t="str">
        <f aca="false">IF(OR(BOM!$D57="",BOM!$R57="Cancelled"),"",IF(BOM!B57="","",BOM!B57))</f>
        <v/>
      </c>
      <c r="C51" s="5" t="str">
        <f aca="false">IF(OR(BOM!$D57="",BOM!$R57="Cancelled"),"",IF(BOM!C57="","",BOM!C57))</f>
        <v/>
      </c>
      <c r="D51" s="5" t="str">
        <f aca="false">IF(OR(BOM!$D57="",BOM!$R57="Cancelled"),"",IF(BOM!D57="","",BOM!D57))</f>
        <v/>
      </c>
      <c r="E51" s="5" t="str">
        <f aca="false">IF(OR(BOM!$D57="",BOM!$R57="Cancelled"),"",IF(BOM!E57="","",BOM!E57))</f>
        <v/>
      </c>
      <c r="F51" s="5" t="str">
        <f aca="false">IF(OR(BOM!$D57="",BOM!$R57="Cancelled"),"",IF(BOM!F57="","",BOM!F57))</f>
        <v/>
      </c>
      <c r="G51" s="5" t="str">
        <f aca="false">IF(OR(BOM!$D57="",BOM!$R57="Cancelled"),"",IF(BOM!J57="","",BOM!J57))</f>
        <v/>
      </c>
      <c r="H51" s="5" t="str">
        <f aca="false">IF(OR(BOM!$D57="",BOM!$R57="Cancelled"),"",IF(BOM!K57="","",BOM!K57))</f>
        <v/>
      </c>
      <c r="I51" s="5" t="str">
        <f aca="false">IF(OR(BOM!$D57="",BOM!$R57="Cancelled"),"",IF(BOM!M57="","",BOM!M57))</f>
        <v/>
      </c>
      <c r="J51" s="5" t="str">
        <f aca="false">IF(OR(BOM!$D57="",BOM!$R57="Cancelled"),"",IF(OR(BOM!R57="Received",BOM!R57="NSW Purchased"),"Received",IF(BOM!R57="Purchased – Not Received","Ordered",IF(BOM!R57="Finalized – Not Purchased","Design Released","In Design"))))</f>
        <v/>
      </c>
      <c r="K51" s="52" t="str">
        <f aca="false">IF(OR(BOM!$D57="",BOM!$R57="Cancelled"),"",IF(BOM!W57="","",BOM!W57))</f>
        <v/>
      </c>
    </row>
    <row r="52" customFormat="false" ht="15" hidden="false" customHeight="false" outlineLevel="0" collapsed="false">
      <c r="A52" s="5" t="str">
        <f aca="false">IF(OR(BOM!$D58="",BOM!$R58="Cancelled"),"",IF(BOM!A58="","",BOM!A58))</f>
        <v/>
      </c>
      <c r="B52" s="5" t="str">
        <f aca="false">IF(OR(BOM!$D58="",BOM!$R58="Cancelled"),"",IF(BOM!B58="","",BOM!B58))</f>
        <v/>
      </c>
      <c r="C52" s="5" t="str">
        <f aca="false">IF(OR(BOM!$D58="",BOM!$R58="Cancelled"),"",IF(BOM!C58="","",BOM!C58))</f>
        <v/>
      </c>
      <c r="D52" s="5" t="str">
        <f aca="false">IF(OR(BOM!$D58="",BOM!$R58="Cancelled"),"",IF(BOM!D58="","",BOM!D58))</f>
        <v/>
      </c>
      <c r="E52" s="5" t="str">
        <f aca="false">IF(OR(BOM!$D58="",BOM!$R58="Cancelled"),"",IF(BOM!E58="","",BOM!E58))</f>
        <v/>
      </c>
      <c r="F52" s="5" t="str">
        <f aca="false">IF(OR(BOM!$D58="",BOM!$R58="Cancelled"),"",IF(BOM!F58="","",BOM!F58))</f>
        <v/>
      </c>
      <c r="G52" s="5" t="str">
        <f aca="false">IF(OR(BOM!$D58="",BOM!$R58="Cancelled"),"",IF(BOM!J58="","",BOM!J58))</f>
        <v/>
      </c>
      <c r="H52" s="5" t="str">
        <f aca="false">IF(OR(BOM!$D58="",BOM!$R58="Cancelled"),"",IF(BOM!K58="","",BOM!K58))</f>
        <v/>
      </c>
      <c r="I52" s="5" t="str">
        <f aca="false">IF(OR(BOM!$D58="",BOM!$R58="Cancelled"),"",IF(BOM!M58="","",BOM!M58))</f>
        <v/>
      </c>
      <c r="J52" s="5" t="str">
        <f aca="false">IF(OR(BOM!$D58="",BOM!$R58="Cancelled"),"",IF(OR(BOM!R58="Received",BOM!R58="NSW Purchased"),"Received",IF(BOM!R58="Purchased – Not Received","Ordered",IF(BOM!R58="Finalized – Not Purchased","Design Released","In Design"))))</f>
        <v/>
      </c>
      <c r="K52" s="52" t="str">
        <f aca="false">IF(OR(BOM!$D58="",BOM!$R58="Cancelled"),"",IF(BOM!W58="","",BOM!W58))</f>
        <v/>
      </c>
    </row>
    <row r="53" customFormat="false" ht="15" hidden="false" customHeight="false" outlineLevel="0" collapsed="false">
      <c r="A53" s="5" t="str">
        <f aca="false">IF(OR(BOM!$D59="",BOM!$R59="Cancelled"),"",IF(BOM!A59="","",BOM!A59))</f>
        <v/>
      </c>
      <c r="B53" s="5" t="str">
        <f aca="false">IF(OR(BOM!$D59="",BOM!$R59="Cancelled"),"",IF(BOM!B59="","",BOM!B59))</f>
        <v/>
      </c>
      <c r="C53" s="5" t="str">
        <f aca="false">IF(OR(BOM!$D59="",BOM!$R59="Cancelled"),"",IF(BOM!C59="","",BOM!C59))</f>
        <v/>
      </c>
      <c r="D53" s="5" t="str">
        <f aca="false">IF(OR(BOM!$D59="",BOM!$R59="Cancelled"),"",IF(BOM!D59="","",BOM!D59))</f>
        <v/>
      </c>
      <c r="E53" s="5" t="str">
        <f aca="false">IF(OR(BOM!$D59="",BOM!$R59="Cancelled"),"",IF(BOM!E59="","",BOM!E59))</f>
        <v/>
      </c>
      <c r="F53" s="5" t="str">
        <f aca="false">IF(OR(BOM!$D59="",BOM!$R59="Cancelled"),"",IF(BOM!F59="","",BOM!F59))</f>
        <v/>
      </c>
      <c r="G53" s="5" t="str">
        <f aca="false">IF(OR(BOM!$D59="",BOM!$R59="Cancelled"),"",IF(BOM!J59="","",BOM!J59))</f>
        <v/>
      </c>
      <c r="H53" s="5" t="str">
        <f aca="false">IF(OR(BOM!$D59="",BOM!$R59="Cancelled"),"",IF(BOM!K59="","",BOM!K59))</f>
        <v/>
      </c>
      <c r="I53" s="5" t="str">
        <f aca="false">IF(OR(BOM!$D59="",BOM!$R59="Cancelled"),"",IF(BOM!M59="","",BOM!M59))</f>
        <v/>
      </c>
      <c r="J53" s="5" t="str">
        <f aca="false">IF(OR(BOM!$D59="",BOM!$R59="Cancelled"),"",IF(OR(BOM!R59="Received",BOM!R59="NSW Purchased"),"Received",IF(BOM!R59="Purchased – Not Received","Ordered",IF(BOM!R59="Finalized – Not Purchased","Design Released","In Design"))))</f>
        <v/>
      </c>
      <c r="K53" s="52" t="str">
        <f aca="false">IF(OR(BOM!$D59="",BOM!$R59="Cancelled"),"",IF(BOM!W59="","",BOM!W59))</f>
        <v/>
      </c>
    </row>
    <row r="54" customFormat="false" ht="15" hidden="false" customHeight="false" outlineLevel="0" collapsed="false">
      <c r="A54" s="5" t="str">
        <f aca="false">IF(OR(BOM!$D60="",BOM!$R60="Cancelled"),"",IF(BOM!A60="","",BOM!A60))</f>
        <v/>
      </c>
      <c r="B54" s="5" t="str">
        <f aca="false">IF(OR(BOM!$D60="",BOM!$R60="Cancelled"),"",IF(BOM!B60="","",BOM!B60))</f>
        <v/>
      </c>
      <c r="C54" s="5" t="str">
        <f aca="false">IF(OR(BOM!$D60="",BOM!$R60="Cancelled"),"",IF(BOM!C60="","",BOM!C60))</f>
        <v/>
      </c>
      <c r="D54" s="5" t="str">
        <f aca="false">IF(OR(BOM!$D60="",BOM!$R60="Cancelled"),"",IF(BOM!D60="","",BOM!D60))</f>
        <v/>
      </c>
      <c r="E54" s="5" t="str">
        <f aca="false">IF(OR(BOM!$D60="",BOM!$R60="Cancelled"),"",IF(BOM!E60="","",BOM!E60))</f>
        <v/>
      </c>
      <c r="F54" s="5" t="str">
        <f aca="false">IF(OR(BOM!$D60="",BOM!$R60="Cancelled"),"",IF(BOM!F60="","",BOM!F60))</f>
        <v/>
      </c>
      <c r="G54" s="5" t="str">
        <f aca="false">IF(OR(BOM!$D60="",BOM!$R60="Cancelled"),"",IF(BOM!J60="","",BOM!J60))</f>
        <v/>
      </c>
      <c r="H54" s="5" t="str">
        <f aca="false">IF(OR(BOM!$D60="",BOM!$R60="Cancelled"),"",IF(BOM!K60="","",BOM!K60))</f>
        <v/>
      </c>
      <c r="I54" s="5" t="str">
        <f aca="false">IF(OR(BOM!$D60="",BOM!$R60="Cancelled"),"",IF(BOM!M60="","",BOM!M60))</f>
        <v/>
      </c>
      <c r="J54" s="5" t="str">
        <f aca="false">IF(OR(BOM!$D60="",BOM!$R60="Cancelled"),"",IF(OR(BOM!R60="Received",BOM!R60="NSW Purchased"),"Received",IF(BOM!R60="Purchased – Not Received","Ordered",IF(BOM!R60="Finalized – Not Purchased","Design Released","In Design"))))</f>
        <v/>
      </c>
      <c r="K54" s="52" t="str">
        <f aca="false">IF(OR(BOM!$D60="",BOM!$R60="Cancelled"),"",IF(BOM!W60="","",BOM!W60))</f>
        <v/>
      </c>
    </row>
    <row r="55" customFormat="false" ht="15" hidden="false" customHeight="false" outlineLevel="0" collapsed="false">
      <c r="A55" s="5" t="str">
        <f aca="false">IF(OR(BOM!$D61="",BOM!$R61="Cancelled"),"",IF(BOM!A61="","",BOM!A61))</f>
        <v/>
      </c>
      <c r="B55" s="5" t="str">
        <f aca="false">IF(OR(BOM!$D61="",BOM!$R61="Cancelled"),"",IF(BOM!B61="","",BOM!B61))</f>
        <v/>
      </c>
      <c r="C55" s="5" t="str">
        <f aca="false">IF(OR(BOM!$D61="",BOM!$R61="Cancelled"),"",IF(BOM!C61="","",BOM!C61))</f>
        <v/>
      </c>
      <c r="D55" s="5" t="str">
        <f aca="false">IF(OR(BOM!$D61="",BOM!$R61="Cancelled"),"",IF(BOM!D61="","",BOM!D61))</f>
        <v/>
      </c>
      <c r="E55" s="5" t="str">
        <f aca="false">IF(OR(BOM!$D61="",BOM!$R61="Cancelled"),"",IF(BOM!E61="","",BOM!E61))</f>
        <v/>
      </c>
      <c r="F55" s="5" t="str">
        <f aca="false">IF(OR(BOM!$D61="",BOM!$R61="Cancelled"),"",IF(BOM!F61="","",BOM!F61))</f>
        <v/>
      </c>
      <c r="G55" s="5" t="str">
        <f aca="false">IF(OR(BOM!$D61="",BOM!$R61="Cancelled"),"",IF(BOM!J61="","",BOM!J61))</f>
        <v/>
      </c>
      <c r="H55" s="5" t="str">
        <f aca="false">IF(OR(BOM!$D61="",BOM!$R61="Cancelled"),"",IF(BOM!K61="","",BOM!K61))</f>
        <v/>
      </c>
      <c r="I55" s="5" t="str">
        <f aca="false">IF(OR(BOM!$D61="",BOM!$R61="Cancelled"),"",IF(BOM!M61="","",BOM!M61))</f>
        <v/>
      </c>
      <c r="J55" s="5" t="str">
        <f aca="false">IF(OR(BOM!$D61="",BOM!$R61="Cancelled"),"",IF(OR(BOM!R61="Received",BOM!R61="NSW Purchased"),"Received",IF(BOM!R61="Purchased – Not Received","Ordered",IF(BOM!R61="Finalized – Not Purchased","Design Released","In Design"))))</f>
        <v/>
      </c>
      <c r="K55" s="52" t="str">
        <f aca="false">IF(OR(BOM!$D61="",BOM!$R61="Cancelled"),"",IF(BOM!W61="","",BOM!W61))</f>
        <v/>
      </c>
    </row>
    <row r="56" customFormat="false" ht="15" hidden="false" customHeight="false" outlineLevel="0" collapsed="false">
      <c r="A56" s="5" t="str">
        <f aca="false">IF(OR(BOM!$D62="",BOM!$R62="Cancelled"),"",IF(BOM!A62="","",BOM!A62))</f>
        <v/>
      </c>
      <c r="B56" s="5" t="str">
        <f aca="false">IF(OR(BOM!$D62="",BOM!$R62="Cancelled"),"",IF(BOM!B62="","",BOM!B62))</f>
        <v/>
      </c>
      <c r="C56" s="5" t="str">
        <f aca="false">IF(OR(BOM!$D62="",BOM!$R62="Cancelled"),"",IF(BOM!C62="","",BOM!C62))</f>
        <v/>
      </c>
      <c r="D56" s="5" t="str">
        <f aca="false">IF(OR(BOM!$D62="",BOM!$R62="Cancelled"),"",IF(BOM!D62="","",BOM!D62))</f>
        <v/>
      </c>
      <c r="E56" s="5" t="str">
        <f aca="false">IF(OR(BOM!$D62="",BOM!$R62="Cancelled"),"",IF(BOM!E62="","",BOM!E62))</f>
        <v/>
      </c>
      <c r="F56" s="5" t="str">
        <f aca="false">IF(OR(BOM!$D62="",BOM!$R62="Cancelled"),"",IF(BOM!F62="","",BOM!F62))</f>
        <v/>
      </c>
      <c r="G56" s="5" t="str">
        <f aca="false">IF(OR(BOM!$D62="",BOM!$R62="Cancelled"),"",IF(BOM!J62="","",BOM!J62))</f>
        <v/>
      </c>
      <c r="H56" s="5" t="str">
        <f aca="false">IF(OR(BOM!$D62="",BOM!$R62="Cancelled"),"",IF(BOM!K62="","",BOM!K62))</f>
        <v/>
      </c>
      <c r="I56" s="5" t="str">
        <f aca="false">IF(OR(BOM!$D62="",BOM!$R62="Cancelled"),"",IF(BOM!M62="","",BOM!M62))</f>
        <v/>
      </c>
      <c r="J56" s="5" t="str">
        <f aca="false">IF(OR(BOM!$D62="",BOM!$R62="Cancelled"),"",IF(OR(BOM!R62="Received",BOM!R62="NSW Purchased"),"Received",IF(BOM!R62="Purchased – Not Received","Ordered",IF(BOM!R62="Finalized – Not Purchased","Design Released","In Design"))))</f>
        <v/>
      </c>
      <c r="K56" s="52" t="str">
        <f aca="false">IF(OR(BOM!$D62="",BOM!$R62="Cancelled"),"",IF(BOM!W62="","",BOM!W62))</f>
        <v/>
      </c>
    </row>
    <row r="57" customFormat="false" ht="15" hidden="false" customHeight="false" outlineLevel="0" collapsed="false">
      <c r="A57" s="5" t="str">
        <f aca="false">IF(OR(BOM!$D63="",BOM!$R63="Cancelled"),"",IF(BOM!A63="","",BOM!A63))</f>
        <v/>
      </c>
      <c r="B57" s="5" t="str">
        <f aca="false">IF(OR(BOM!$D63="",BOM!$R63="Cancelled"),"",IF(BOM!B63="","",BOM!B63))</f>
        <v/>
      </c>
      <c r="C57" s="5" t="str">
        <f aca="false">IF(OR(BOM!$D63="",BOM!$R63="Cancelled"),"",IF(BOM!C63="","",BOM!C63))</f>
        <v/>
      </c>
      <c r="D57" s="5" t="str">
        <f aca="false">IF(OR(BOM!$D63="",BOM!$R63="Cancelled"),"",IF(BOM!D63="","",BOM!D63))</f>
        <v/>
      </c>
      <c r="E57" s="5" t="str">
        <f aca="false">IF(OR(BOM!$D63="",BOM!$R63="Cancelled"),"",IF(BOM!E63="","",BOM!E63))</f>
        <v/>
      </c>
      <c r="F57" s="5" t="str">
        <f aca="false">IF(OR(BOM!$D63="",BOM!$R63="Cancelled"),"",IF(BOM!F63="","",BOM!F63))</f>
        <v/>
      </c>
      <c r="G57" s="5" t="str">
        <f aca="false">IF(OR(BOM!$D63="",BOM!$R63="Cancelled"),"",IF(BOM!J63="","",BOM!J63))</f>
        <v/>
      </c>
      <c r="H57" s="5" t="str">
        <f aca="false">IF(OR(BOM!$D63="",BOM!$R63="Cancelled"),"",IF(BOM!K63="","",BOM!K63))</f>
        <v/>
      </c>
      <c r="I57" s="5" t="str">
        <f aca="false">IF(OR(BOM!$D63="",BOM!$R63="Cancelled"),"",IF(BOM!M63="","",BOM!M63))</f>
        <v/>
      </c>
      <c r="J57" s="5" t="str">
        <f aca="false">IF(OR(BOM!$D63="",BOM!$R63="Cancelled"),"",IF(OR(BOM!R63="Received",BOM!R63="NSW Purchased"),"Received",IF(BOM!R63="Purchased – Not Received","Ordered",IF(BOM!R63="Finalized – Not Purchased","Design Released","In Design"))))</f>
        <v/>
      </c>
      <c r="K57" s="52" t="str">
        <f aca="false">IF(OR(BOM!$D63="",BOM!$R63="Cancelled"),"",IF(BOM!W63="","",BOM!W63))</f>
        <v/>
      </c>
    </row>
    <row r="58" customFormat="false" ht="15" hidden="false" customHeight="false" outlineLevel="0" collapsed="false">
      <c r="A58" s="5" t="str">
        <f aca="false">IF(OR(BOM!$D64="",BOM!$R64="Cancelled"),"",IF(BOM!A64="","",BOM!A64))</f>
        <v/>
      </c>
      <c r="B58" s="5" t="str">
        <f aca="false">IF(OR(BOM!$D64="",BOM!$R64="Cancelled"),"",IF(BOM!B64="","",BOM!B64))</f>
        <v/>
      </c>
      <c r="C58" s="5" t="str">
        <f aca="false">IF(OR(BOM!$D64="",BOM!$R64="Cancelled"),"",IF(BOM!C64="","",BOM!C64))</f>
        <v/>
      </c>
      <c r="D58" s="5" t="str">
        <f aca="false">IF(OR(BOM!$D64="",BOM!$R64="Cancelled"),"",IF(BOM!D64="","",BOM!D64))</f>
        <v/>
      </c>
      <c r="E58" s="5" t="str">
        <f aca="false">IF(OR(BOM!$D64="",BOM!$R64="Cancelled"),"",IF(BOM!E64="","",BOM!E64))</f>
        <v/>
      </c>
      <c r="F58" s="5" t="str">
        <f aca="false">IF(OR(BOM!$D64="",BOM!$R64="Cancelled"),"",IF(BOM!F64="","",BOM!F64))</f>
        <v/>
      </c>
      <c r="G58" s="5" t="str">
        <f aca="false">IF(OR(BOM!$D64="",BOM!$R64="Cancelled"),"",IF(BOM!J64="","",BOM!J64))</f>
        <v/>
      </c>
      <c r="H58" s="5" t="str">
        <f aca="false">IF(OR(BOM!$D64="",BOM!$R64="Cancelled"),"",IF(BOM!K64="","",BOM!K64))</f>
        <v/>
      </c>
      <c r="I58" s="5" t="str">
        <f aca="false">IF(OR(BOM!$D64="",BOM!$R64="Cancelled"),"",IF(BOM!M64="","",BOM!M64))</f>
        <v/>
      </c>
      <c r="J58" s="5" t="str">
        <f aca="false">IF(OR(BOM!$D64="",BOM!$R64="Cancelled"),"",IF(OR(BOM!R64="Received",BOM!R64="NSW Purchased"),"Received",IF(BOM!R64="Purchased – Not Received","Ordered",IF(BOM!R64="Finalized – Not Purchased","Design Released","In Design"))))</f>
        <v/>
      </c>
      <c r="K58" s="52" t="str">
        <f aca="false">IF(OR(BOM!$D64="",BOM!$R64="Cancelled"),"",IF(BOM!W64="","",BOM!W64))</f>
        <v/>
      </c>
    </row>
    <row r="59" customFormat="false" ht="15" hidden="false" customHeight="false" outlineLevel="0" collapsed="false">
      <c r="A59" s="5" t="str">
        <f aca="false">IF(OR(BOM!$D65="",BOM!$R65="Cancelled"),"",IF(BOM!A65="","",BOM!A65))</f>
        <v/>
      </c>
      <c r="B59" s="5" t="str">
        <f aca="false">IF(OR(BOM!$D65="",BOM!$R65="Cancelled"),"",IF(BOM!B65="","",BOM!B65))</f>
        <v/>
      </c>
      <c r="C59" s="5" t="str">
        <f aca="false">IF(OR(BOM!$D65="",BOM!$R65="Cancelled"),"",IF(BOM!C65="","",BOM!C65))</f>
        <v/>
      </c>
      <c r="D59" s="5" t="str">
        <f aca="false">IF(OR(BOM!$D65="",BOM!$R65="Cancelled"),"",IF(BOM!D65="","",BOM!D65))</f>
        <v/>
      </c>
      <c r="E59" s="5" t="str">
        <f aca="false">IF(OR(BOM!$D65="",BOM!$R65="Cancelled"),"",IF(BOM!E65="","",BOM!E65))</f>
        <v/>
      </c>
      <c r="F59" s="5" t="str">
        <f aca="false">IF(OR(BOM!$D65="",BOM!$R65="Cancelled"),"",IF(BOM!F65="","",BOM!F65))</f>
        <v/>
      </c>
      <c r="G59" s="5" t="str">
        <f aca="false">IF(OR(BOM!$D65="",BOM!$R65="Cancelled"),"",IF(BOM!J65="","",BOM!J65))</f>
        <v/>
      </c>
      <c r="H59" s="5" t="str">
        <f aca="false">IF(OR(BOM!$D65="",BOM!$R65="Cancelled"),"",IF(BOM!K65="","",BOM!K65))</f>
        <v/>
      </c>
      <c r="I59" s="5" t="str">
        <f aca="false">IF(OR(BOM!$D65="",BOM!$R65="Cancelled"),"",IF(BOM!M65="","",BOM!M65))</f>
        <v/>
      </c>
      <c r="J59" s="5" t="str">
        <f aca="false">IF(OR(BOM!$D65="",BOM!$R65="Cancelled"),"",IF(OR(BOM!R65="Received",BOM!R65="NSW Purchased"),"Received",IF(BOM!R65="Purchased – Not Received","Ordered",IF(BOM!R65="Finalized – Not Purchased","Design Released","In Design"))))</f>
        <v/>
      </c>
      <c r="K59" s="52" t="str">
        <f aca="false">IF(OR(BOM!$D65="",BOM!$R65="Cancelled"),"",IF(BOM!W65="","",BOM!W65))</f>
        <v/>
      </c>
    </row>
    <row r="60" customFormat="false" ht="15" hidden="false" customHeight="false" outlineLevel="0" collapsed="false">
      <c r="A60" s="5" t="str">
        <f aca="false">IF(OR(BOM!$D66="",BOM!$R66="Cancelled"),"",IF(BOM!A66="","",BOM!A66))</f>
        <v/>
      </c>
      <c r="B60" s="5" t="str">
        <f aca="false">IF(OR(BOM!$D66="",BOM!$R66="Cancelled"),"",IF(BOM!B66="","",BOM!B66))</f>
        <v/>
      </c>
      <c r="C60" s="5" t="str">
        <f aca="false">IF(OR(BOM!$D66="",BOM!$R66="Cancelled"),"",IF(BOM!C66="","",BOM!C66))</f>
        <v/>
      </c>
      <c r="D60" s="5" t="str">
        <f aca="false">IF(OR(BOM!$D66="",BOM!$R66="Cancelled"),"",IF(BOM!D66="","",BOM!D66))</f>
        <v/>
      </c>
      <c r="E60" s="5" t="str">
        <f aca="false">IF(OR(BOM!$D66="",BOM!$R66="Cancelled"),"",IF(BOM!E66="","",BOM!E66))</f>
        <v/>
      </c>
      <c r="F60" s="5" t="str">
        <f aca="false">IF(OR(BOM!$D66="",BOM!$R66="Cancelled"),"",IF(BOM!F66="","",BOM!F66))</f>
        <v/>
      </c>
      <c r="G60" s="5" t="str">
        <f aca="false">IF(OR(BOM!$D66="",BOM!$R66="Cancelled"),"",IF(BOM!J66="","",BOM!J66))</f>
        <v/>
      </c>
      <c r="H60" s="5" t="str">
        <f aca="false">IF(OR(BOM!$D66="",BOM!$R66="Cancelled"),"",IF(BOM!K66="","",BOM!K66))</f>
        <v/>
      </c>
      <c r="I60" s="5" t="str">
        <f aca="false">IF(OR(BOM!$D66="",BOM!$R66="Cancelled"),"",IF(BOM!M66="","",BOM!M66))</f>
        <v/>
      </c>
      <c r="J60" s="5" t="str">
        <f aca="false">IF(OR(BOM!$D66="",BOM!$R66="Cancelled"),"",IF(OR(BOM!R66="Received",BOM!R66="NSW Purchased"),"Received",IF(BOM!R66="Purchased – Not Received","Ordered",IF(BOM!R66="Finalized – Not Purchased","Design Released","In Design"))))</f>
        <v/>
      </c>
      <c r="K60" s="52" t="str">
        <f aca="false">IF(OR(BOM!$D66="",BOM!$R66="Cancelled"),"",IF(BOM!W66="","",BOM!W66))</f>
        <v/>
      </c>
    </row>
    <row r="61" customFormat="false" ht="15" hidden="false" customHeight="false" outlineLevel="0" collapsed="false">
      <c r="A61" s="5" t="str">
        <f aca="false">IF(OR(BOM!$D67="",BOM!$R67="Cancelled"),"",IF(BOM!A67="","",BOM!A67))</f>
        <v/>
      </c>
      <c r="B61" s="5" t="str">
        <f aca="false">IF(OR(BOM!$D67="",BOM!$R67="Cancelled"),"",IF(BOM!B67="","",BOM!B67))</f>
        <v/>
      </c>
      <c r="C61" s="5" t="str">
        <f aca="false">IF(OR(BOM!$D67="",BOM!$R67="Cancelled"),"",IF(BOM!C67="","",BOM!C67))</f>
        <v/>
      </c>
      <c r="D61" s="5" t="str">
        <f aca="false">IF(OR(BOM!$D67="",BOM!$R67="Cancelled"),"",IF(BOM!D67="","",BOM!D67))</f>
        <v/>
      </c>
      <c r="E61" s="5" t="str">
        <f aca="false">IF(OR(BOM!$D67="",BOM!$R67="Cancelled"),"",IF(BOM!E67="","",BOM!E67))</f>
        <v/>
      </c>
      <c r="F61" s="5" t="str">
        <f aca="false">IF(OR(BOM!$D67="",BOM!$R67="Cancelled"),"",IF(BOM!F67="","",BOM!F67))</f>
        <v/>
      </c>
      <c r="G61" s="5" t="str">
        <f aca="false">IF(OR(BOM!$D67="",BOM!$R67="Cancelled"),"",IF(BOM!J67="","",BOM!J67))</f>
        <v/>
      </c>
      <c r="H61" s="5" t="str">
        <f aca="false">IF(OR(BOM!$D67="",BOM!$R67="Cancelled"),"",IF(BOM!K67="","",BOM!K67))</f>
        <v/>
      </c>
      <c r="I61" s="5" t="str">
        <f aca="false">IF(OR(BOM!$D67="",BOM!$R67="Cancelled"),"",IF(BOM!M67="","",BOM!M67))</f>
        <v/>
      </c>
      <c r="J61" s="5" t="str">
        <f aca="false">IF(OR(BOM!$D67="",BOM!$R67="Cancelled"),"",IF(OR(BOM!R67="Received",BOM!R67="NSW Purchased"),"Received",IF(BOM!R67="Purchased – Not Received","Ordered",IF(BOM!R67="Finalized – Not Purchased","Design Released","In Design"))))</f>
        <v/>
      </c>
      <c r="K61" s="52" t="str">
        <f aca="false">IF(OR(BOM!$D67="",BOM!$R67="Cancelled"),"",IF(BOM!W67="","",BOM!W67))</f>
        <v/>
      </c>
    </row>
    <row r="62" customFormat="false" ht="15" hidden="false" customHeight="false" outlineLevel="0" collapsed="false">
      <c r="A62" s="5" t="str">
        <f aca="false">IF(OR(BOM!$D68="",BOM!$R68="Cancelled"),"",IF(BOM!A68="","",BOM!A68))</f>
        <v/>
      </c>
      <c r="B62" s="5" t="str">
        <f aca="false">IF(OR(BOM!$D68="",BOM!$R68="Cancelled"),"",IF(BOM!B68="","",BOM!B68))</f>
        <v/>
      </c>
      <c r="C62" s="5" t="str">
        <f aca="false">IF(OR(BOM!$D68="",BOM!$R68="Cancelled"),"",IF(BOM!C68="","",BOM!C68))</f>
        <v/>
      </c>
      <c r="D62" s="5" t="str">
        <f aca="false">IF(OR(BOM!$D68="",BOM!$R68="Cancelled"),"",IF(BOM!D68="","",BOM!D68))</f>
        <v/>
      </c>
      <c r="E62" s="5" t="str">
        <f aca="false">IF(OR(BOM!$D68="",BOM!$R68="Cancelled"),"",IF(BOM!E68="","",BOM!E68))</f>
        <v/>
      </c>
      <c r="F62" s="5" t="str">
        <f aca="false">IF(OR(BOM!$D68="",BOM!$R68="Cancelled"),"",IF(BOM!F68="","",BOM!F68))</f>
        <v/>
      </c>
      <c r="G62" s="5" t="str">
        <f aca="false">IF(OR(BOM!$D68="",BOM!$R68="Cancelled"),"",IF(BOM!J68="","",BOM!J68))</f>
        <v/>
      </c>
      <c r="H62" s="5" t="str">
        <f aca="false">IF(OR(BOM!$D68="",BOM!$R68="Cancelled"),"",IF(BOM!K68="","",BOM!K68))</f>
        <v/>
      </c>
      <c r="I62" s="5" t="str">
        <f aca="false">IF(OR(BOM!$D68="",BOM!$R68="Cancelled"),"",IF(BOM!M68="","",BOM!M68))</f>
        <v/>
      </c>
      <c r="J62" s="5" t="str">
        <f aca="false">IF(OR(BOM!$D68="",BOM!$R68="Cancelled"),"",IF(OR(BOM!R68="Received",BOM!R68="NSW Purchased"),"Received",IF(BOM!R68="Purchased – Not Received","Ordered",IF(BOM!R68="Finalized – Not Purchased","Design Released","In Design"))))</f>
        <v/>
      </c>
      <c r="K62" s="52" t="str">
        <f aca="false">IF(OR(BOM!$D68="",BOM!$R68="Cancelled"),"",IF(BOM!W68="","",BOM!W68))</f>
        <v/>
      </c>
    </row>
    <row r="63" customFormat="false" ht="15" hidden="false" customHeight="false" outlineLevel="0" collapsed="false">
      <c r="A63" s="5" t="str">
        <f aca="false">IF(OR(BOM!$D69="",BOM!$R69="Cancelled"),"",IF(BOM!A69="","",BOM!A69))</f>
        <v/>
      </c>
      <c r="B63" s="5" t="str">
        <f aca="false">IF(OR(BOM!$D69="",BOM!$R69="Cancelled"),"",IF(BOM!B69="","",BOM!B69))</f>
        <v/>
      </c>
      <c r="C63" s="5" t="str">
        <f aca="false">IF(OR(BOM!$D69="",BOM!$R69="Cancelled"),"",IF(BOM!C69="","",BOM!C69))</f>
        <v/>
      </c>
      <c r="D63" s="5" t="str">
        <f aca="false">IF(OR(BOM!$D69="",BOM!$R69="Cancelled"),"",IF(BOM!D69="","",BOM!D69))</f>
        <v/>
      </c>
      <c r="E63" s="5" t="str">
        <f aca="false">IF(OR(BOM!$D69="",BOM!$R69="Cancelled"),"",IF(BOM!E69="","",BOM!E69))</f>
        <v/>
      </c>
      <c r="F63" s="5" t="str">
        <f aca="false">IF(OR(BOM!$D69="",BOM!$R69="Cancelled"),"",IF(BOM!F69="","",BOM!F69))</f>
        <v/>
      </c>
      <c r="G63" s="5" t="str">
        <f aca="false">IF(OR(BOM!$D69="",BOM!$R69="Cancelled"),"",IF(BOM!J69="","",BOM!J69))</f>
        <v/>
      </c>
      <c r="H63" s="5" t="str">
        <f aca="false">IF(OR(BOM!$D69="",BOM!$R69="Cancelled"),"",IF(BOM!K69="","",BOM!K69))</f>
        <v/>
      </c>
      <c r="I63" s="5" t="str">
        <f aca="false">IF(OR(BOM!$D69="",BOM!$R69="Cancelled"),"",IF(BOM!M69="","",BOM!M69))</f>
        <v/>
      </c>
      <c r="J63" s="5" t="str">
        <f aca="false">IF(OR(BOM!$D69="",BOM!$R69="Cancelled"),"",IF(OR(BOM!R69="Received",BOM!R69="NSW Purchased"),"Received",IF(BOM!R69="Purchased – Not Received","Ordered",IF(BOM!R69="Finalized – Not Purchased","Design Released","In Design"))))</f>
        <v/>
      </c>
      <c r="K63" s="52" t="str">
        <f aca="false">IF(OR(BOM!$D69="",BOM!$R69="Cancelled"),"",IF(BOM!W69="","",BOM!W69))</f>
        <v/>
      </c>
    </row>
    <row r="64" customFormat="false" ht="15" hidden="false" customHeight="false" outlineLevel="0" collapsed="false">
      <c r="A64" s="5" t="str">
        <f aca="false">IF(OR(BOM!$D70="",BOM!$R70="Cancelled"),"",IF(BOM!A70="","",BOM!A70))</f>
        <v/>
      </c>
      <c r="B64" s="5" t="str">
        <f aca="false">IF(OR(BOM!$D70="",BOM!$R70="Cancelled"),"",IF(BOM!B70="","",BOM!B70))</f>
        <v/>
      </c>
      <c r="C64" s="5" t="str">
        <f aca="false">IF(OR(BOM!$D70="",BOM!$R70="Cancelled"),"",IF(BOM!C70="","",BOM!C70))</f>
        <v/>
      </c>
      <c r="D64" s="5" t="str">
        <f aca="false">IF(OR(BOM!$D70="",BOM!$R70="Cancelled"),"",IF(BOM!D70="","",BOM!D70))</f>
        <v/>
      </c>
      <c r="E64" s="5" t="str">
        <f aca="false">IF(OR(BOM!$D70="",BOM!$R70="Cancelled"),"",IF(BOM!E70="","",BOM!E70))</f>
        <v/>
      </c>
      <c r="F64" s="5" t="str">
        <f aca="false">IF(OR(BOM!$D70="",BOM!$R70="Cancelled"),"",IF(BOM!F70="","",BOM!F70))</f>
        <v/>
      </c>
      <c r="G64" s="5" t="str">
        <f aca="false">IF(OR(BOM!$D70="",BOM!$R70="Cancelled"),"",IF(BOM!J70="","",BOM!J70))</f>
        <v/>
      </c>
      <c r="H64" s="5" t="str">
        <f aca="false">IF(OR(BOM!$D70="",BOM!$R70="Cancelled"),"",IF(BOM!K70="","",BOM!K70))</f>
        <v/>
      </c>
      <c r="I64" s="5" t="str">
        <f aca="false">IF(OR(BOM!$D70="",BOM!$R70="Cancelled"),"",IF(BOM!M70="","",BOM!M70))</f>
        <v/>
      </c>
      <c r="J64" s="5" t="str">
        <f aca="false">IF(OR(BOM!$D70="",BOM!$R70="Cancelled"),"",IF(OR(BOM!R70="Received",BOM!R70="NSW Purchased"),"Received",IF(BOM!R70="Purchased – Not Received","Ordered",IF(BOM!R70="Finalized – Not Purchased","Design Released","In Design"))))</f>
        <v/>
      </c>
      <c r="K64" s="52" t="str">
        <f aca="false">IF(OR(BOM!$D70="",BOM!$R70="Cancelled"),"",IF(BOM!W70="","",BOM!W70))</f>
        <v/>
      </c>
    </row>
    <row r="65" customFormat="false" ht="15" hidden="false" customHeight="false" outlineLevel="0" collapsed="false">
      <c r="A65" s="5" t="str">
        <f aca="false">IF(OR(BOM!$D71="",BOM!$R71="Cancelled"),"",IF(BOM!A71="","",BOM!A71))</f>
        <v/>
      </c>
      <c r="B65" s="5" t="str">
        <f aca="false">IF(OR(BOM!$D71="",BOM!$R71="Cancelled"),"",IF(BOM!B71="","",BOM!B71))</f>
        <v/>
      </c>
      <c r="C65" s="5" t="str">
        <f aca="false">IF(OR(BOM!$D71="",BOM!$R71="Cancelled"),"",IF(BOM!C71="","",BOM!C71))</f>
        <v/>
      </c>
      <c r="D65" s="5" t="str">
        <f aca="false">IF(OR(BOM!$D71="",BOM!$R71="Cancelled"),"",IF(BOM!D71="","",BOM!D71))</f>
        <v/>
      </c>
      <c r="E65" s="5" t="str">
        <f aca="false">IF(OR(BOM!$D71="",BOM!$R71="Cancelled"),"",IF(BOM!E71="","",BOM!E71))</f>
        <v/>
      </c>
      <c r="F65" s="5" t="str">
        <f aca="false">IF(OR(BOM!$D71="",BOM!$R71="Cancelled"),"",IF(BOM!F71="","",BOM!F71))</f>
        <v/>
      </c>
      <c r="G65" s="5" t="str">
        <f aca="false">IF(OR(BOM!$D71="",BOM!$R71="Cancelled"),"",IF(BOM!J71="","",BOM!J71))</f>
        <v/>
      </c>
      <c r="H65" s="5" t="str">
        <f aca="false">IF(OR(BOM!$D71="",BOM!$R71="Cancelled"),"",IF(BOM!K71="","",BOM!K71))</f>
        <v/>
      </c>
      <c r="I65" s="5" t="str">
        <f aca="false">IF(OR(BOM!$D71="",BOM!$R71="Cancelled"),"",IF(BOM!M71="","",BOM!M71))</f>
        <v/>
      </c>
      <c r="J65" s="5" t="str">
        <f aca="false">IF(OR(BOM!$D71="",BOM!$R71="Cancelled"),"",IF(OR(BOM!R71="Received",BOM!R71="NSW Purchased"),"Received",IF(BOM!R71="Purchased – Not Received","Ordered",IF(BOM!R71="Finalized – Not Purchased","Design Released","In Design"))))</f>
        <v/>
      </c>
      <c r="K65" s="52" t="str">
        <f aca="false">IF(OR(BOM!$D71="",BOM!$R71="Cancelled"),"",IF(BOM!W71="","",BOM!W71))</f>
        <v/>
      </c>
    </row>
    <row r="66" customFormat="false" ht="15" hidden="false" customHeight="false" outlineLevel="0" collapsed="false">
      <c r="A66" s="5" t="str">
        <f aca="false">IF(OR(BOM!$D72="",BOM!$R72="Cancelled"),"",IF(BOM!A72="","",BOM!A72))</f>
        <v/>
      </c>
      <c r="B66" s="5" t="str">
        <f aca="false">IF(OR(BOM!$D72="",BOM!$R72="Cancelled"),"",IF(BOM!B72="","",BOM!B72))</f>
        <v/>
      </c>
      <c r="C66" s="5" t="str">
        <f aca="false">IF(OR(BOM!$D72="",BOM!$R72="Cancelled"),"",IF(BOM!C72="","",BOM!C72))</f>
        <v/>
      </c>
      <c r="D66" s="5" t="str">
        <f aca="false">IF(OR(BOM!$D72="",BOM!$R72="Cancelled"),"",IF(BOM!D72="","",BOM!D72))</f>
        <v/>
      </c>
      <c r="E66" s="5" t="str">
        <f aca="false">IF(OR(BOM!$D72="",BOM!$R72="Cancelled"),"",IF(BOM!E72="","",BOM!E72))</f>
        <v/>
      </c>
      <c r="F66" s="5" t="str">
        <f aca="false">IF(OR(BOM!$D72="",BOM!$R72="Cancelled"),"",IF(BOM!F72="","",BOM!F72))</f>
        <v/>
      </c>
      <c r="G66" s="5" t="str">
        <f aca="false">IF(OR(BOM!$D72="",BOM!$R72="Cancelled"),"",IF(BOM!J72="","",BOM!J72))</f>
        <v/>
      </c>
      <c r="H66" s="5" t="str">
        <f aca="false">IF(OR(BOM!$D72="",BOM!$R72="Cancelled"),"",IF(BOM!K72="","",BOM!K72))</f>
        <v/>
      </c>
      <c r="I66" s="5" t="str">
        <f aca="false">IF(OR(BOM!$D72="",BOM!$R72="Cancelled"),"",IF(BOM!M72="","",BOM!M72))</f>
        <v/>
      </c>
      <c r="J66" s="5" t="str">
        <f aca="false">IF(OR(BOM!$D72="",BOM!$R72="Cancelled"),"",IF(OR(BOM!R72="Received",BOM!R72="NSW Purchased"),"Received",IF(BOM!R72="Purchased – Not Received","Ordered",IF(BOM!R72="Finalized – Not Purchased","Design Released","In Design"))))</f>
        <v/>
      </c>
      <c r="K66" s="52" t="str">
        <f aca="false">IF(OR(BOM!$D72="",BOM!$R72="Cancelled"),"",IF(BOM!W72="","",BOM!W72))</f>
        <v/>
      </c>
    </row>
    <row r="67" customFormat="false" ht="15" hidden="false" customHeight="false" outlineLevel="0" collapsed="false">
      <c r="A67" s="5" t="str">
        <f aca="false">IF(OR(BOM!$D73="",BOM!$R73="Cancelled"),"",IF(BOM!A73="","",BOM!A73))</f>
        <v/>
      </c>
      <c r="B67" s="5" t="str">
        <f aca="false">IF(OR(BOM!$D73="",BOM!$R73="Cancelled"),"",IF(BOM!B73="","",BOM!B73))</f>
        <v/>
      </c>
      <c r="C67" s="5" t="str">
        <f aca="false">IF(OR(BOM!$D73="",BOM!$R73="Cancelled"),"",IF(BOM!C73="","",BOM!C73))</f>
        <v/>
      </c>
      <c r="D67" s="5" t="str">
        <f aca="false">IF(OR(BOM!$D73="",BOM!$R73="Cancelled"),"",IF(BOM!D73="","",BOM!D73))</f>
        <v/>
      </c>
      <c r="E67" s="5" t="str">
        <f aca="false">IF(OR(BOM!$D73="",BOM!$R73="Cancelled"),"",IF(BOM!E73="","",BOM!E73))</f>
        <v/>
      </c>
      <c r="F67" s="5" t="str">
        <f aca="false">IF(OR(BOM!$D73="",BOM!$R73="Cancelled"),"",IF(BOM!F73="","",BOM!F73))</f>
        <v/>
      </c>
      <c r="G67" s="5" t="str">
        <f aca="false">IF(OR(BOM!$D73="",BOM!$R73="Cancelled"),"",IF(BOM!J73="","",BOM!J73))</f>
        <v/>
      </c>
      <c r="H67" s="5" t="str">
        <f aca="false">IF(OR(BOM!$D73="",BOM!$R73="Cancelled"),"",IF(BOM!K73="","",BOM!K73))</f>
        <v/>
      </c>
      <c r="I67" s="5" t="str">
        <f aca="false">IF(OR(BOM!$D73="",BOM!$R73="Cancelled"),"",IF(BOM!M73="","",BOM!M73))</f>
        <v/>
      </c>
      <c r="J67" s="5" t="str">
        <f aca="false">IF(OR(BOM!$D73="",BOM!$R73="Cancelled"),"",IF(OR(BOM!R73="Received",BOM!R73="NSW Purchased"),"Received",IF(BOM!R73="Purchased – Not Received","Ordered",IF(BOM!R73="Finalized – Not Purchased","Design Released","In Design"))))</f>
        <v/>
      </c>
      <c r="K67" s="52" t="str">
        <f aca="false">IF(OR(BOM!$D73="",BOM!$R73="Cancelled"),"",IF(BOM!W73="","",BOM!W73))</f>
        <v/>
      </c>
    </row>
    <row r="68" customFormat="false" ht="15" hidden="false" customHeight="false" outlineLevel="0" collapsed="false">
      <c r="A68" s="5" t="str">
        <f aca="false">IF(OR(BOM!$D74="",BOM!$R74="Cancelled"),"",IF(BOM!A74="","",BOM!A74))</f>
        <v/>
      </c>
      <c r="B68" s="5" t="str">
        <f aca="false">IF(OR(BOM!$D74="",BOM!$R74="Cancelled"),"",IF(BOM!B74="","",BOM!B74))</f>
        <v/>
      </c>
      <c r="C68" s="5" t="str">
        <f aca="false">IF(OR(BOM!$D74="",BOM!$R74="Cancelled"),"",IF(BOM!C74="","",BOM!C74))</f>
        <v/>
      </c>
      <c r="D68" s="5" t="str">
        <f aca="false">IF(OR(BOM!$D74="",BOM!$R74="Cancelled"),"",IF(BOM!D74="","",BOM!D74))</f>
        <v/>
      </c>
      <c r="E68" s="5" t="str">
        <f aca="false">IF(OR(BOM!$D74="",BOM!$R74="Cancelled"),"",IF(BOM!E74="","",BOM!E74))</f>
        <v/>
      </c>
      <c r="F68" s="5" t="str">
        <f aca="false">IF(OR(BOM!$D74="",BOM!$R74="Cancelled"),"",IF(BOM!F74="","",BOM!F74))</f>
        <v/>
      </c>
      <c r="G68" s="5" t="str">
        <f aca="false">IF(OR(BOM!$D74="",BOM!$R74="Cancelled"),"",IF(BOM!J74="","",BOM!J74))</f>
        <v/>
      </c>
      <c r="H68" s="5" t="str">
        <f aca="false">IF(OR(BOM!$D74="",BOM!$R74="Cancelled"),"",IF(BOM!K74="","",BOM!K74))</f>
        <v/>
      </c>
      <c r="I68" s="5" t="str">
        <f aca="false">IF(OR(BOM!$D74="",BOM!$R74="Cancelled"),"",IF(BOM!M74="","",BOM!M74))</f>
        <v/>
      </c>
      <c r="J68" s="5" t="str">
        <f aca="false">IF(OR(BOM!$D74="",BOM!$R74="Cancelled"),"",IF(OR(BOM!R74="Received",BOM!R74="NSW Purchased"),"Received",IF(BOM!R74="Purchased – Not Received","Ordered",IF(BOM!R74="Finalized – Not Purchased","Design Released","In Design"))))</f>
        <v/>
      </c>
      <c r="K68" s="52" t="str">
        <f aca="false">IF(OR(BOM!$D74="",BOM!$R74="Cancelled"),"",IF(BOM!W74="","",BOM!W74))</f>
        <v/>
      </c>
    </row>
    <row r="69" customFormat="false" ht="15" hidden="false" customHeight="false" outlineLevel="0" collapsed="false">
      <c r="A69" s="5" t="str">
        <f aca="false">IF(OR(BOM!$D75="",BOM!$R75="Cancelled"),"",IF(BOM!A75="","",BOM!A75))</f>
        <v/>
      </c>
      <c r="B69" s="5" t="str">
        <f aca="false">IF(OR(BOM!$D75="",BOM!$R75="Cancelled"),"",IF(BOM!B75="","",BOM!B75))</f>
        <v/>
      </c>
      <c r="C69" s="5" t="str">
        <f aca="false">IF(OR(BOM!$D75="",BOM!$R75="Cancelled"),"",IF(BOM!C75="","",BOM!C75))</f>
        <v/>
      </c>
      <c r="D69" s="5" t="str">
        <f aca="false">IF(OR(BOM!$D75="",BOM!$R75="Cancelled"),"",IF(BOM!D75="","",BOM!D75))</f>
        <v/>
      </c>
      <c r="E69" s="5" t="str">
        <f aca="false">IF(OR(BOM!$D75="",BOM!$R75="Cancelled"),"",IF(BOM!E75="","",BOM!E75))</f>
        <v/>
      </c>
      <c r="F69" s="5" t="str">
        <f aca="false">IF(OR(BOM!$D75="",BOM!$R75="Cancelled"),"",IF(BOM!F75="","",BOM!F75))</f>
        <v/>
      </c>
      <c r="G69" s="5" t="str">
        <f aca="false">IF(OR(BOM!$D75="",BOM!$R75="Cancelled"),"",IF(BOM!J75="","",BOM!J75))</f>
        <v/>
      </c>
      <c r="H69" s="5" t="str">
        <f aca="false">IF(OR(BOM!$D75="",BOM!$R75="Cancelled"),"",IF(BOM!K75="","",BOM!K75))</f>
        <v/>
      </c>
      <c r="I69" s="5" t="str">
        <f aca="false">IF(OR(BOM!$D75="",BOM!$R75="Cancelled"),"",IF(BOM!M75="","",BOM!M75))</f>
        <v/>
      </c>
      <c r="J69" s="5" t="str">
        <f aca="false">IF(OR(BOM!$D75="",BOM!$R75="Cancelled"),"",IF(OR(BOM!R75="Received",BOM!R75="NSW Purchased"),"Received",IF(BOM!R75="Purchased – Not Received","Ordered",IF(BOM!R75="Finalized – Not Purchased","Design Released","In Design"))))</f>
        <v/>
      </c>
      <c r="K69" s="52" t="str">
        <f aca="false">IF(OR(BOM!$D75="",BOM!$R75="Cancelled"),"",IF(BOM!W75="","",BOM!W75))</f>
        <v/>
      </c>
    </row>
    <row r="70" customFormat="false" ht="15" hidden="false" customHeight="false" outlineLevel="0" collapsed="false">
      <c r="A70" s="5" t="str">
        <f aca="false">IF(OR(BOM!$D76="",BOM!$R76="Cancelled"),"",IF(BOM!A76="","",BOM!A76))</f>
        <v/>
      </c>
      <c r="B70" s="5" t="str">
        <f aca="false">IF(OR(BOM!$D76="",BOM!$R76="Cancelled"),"",IF(BOM!B76="","",BOM!B76))</f>
        <v/>
      </c>
      <c r="C70" s="5" t="str">
        <f aca="false">IF(OR(BOM!$D76="",BOM!$R76="Cancelled"),"",IF(BOM!C76="","",BOM!C76))</f>
        <v/>
      </c>
      <c r="D70" s="5" t="str">
        <f aca="false">IF(OR(BOM!$D76="",BOM!$R76="Cancelled"),"",IF(BOM!D76="","",BOM!D76))</f>
        <v/>
      </c>
      <c r="E70" s="5" t="str">
        <f aca="false">IF(OR(BOM!$D76="",BOM!$R76="Cancelled"),"",IF(BOM!E76="","",BOM!E76))</f>
        <v/>
      </c>
      <c r="F70" s="5" t="str">
        <f aca="false">IF(OR(BOM!$D76="",BOM!$R76="Cancelled"),"",IF(BOM!F76="","",BOM!F76))</f>
        <v/>
      </c>
      <c r="G70" s="5" t="str">
        <f aca="false">IF(OR(BOM!$D76="",BOM!$R76="Cancelled"),"",IF(BOM!J76="","",BOM!J76))</f>
        <v/>
      </c>
      <c r="H70" s="5" t="str">
        <f aca="false">IF(OR(BOM!$D76="",BOM!$R76="Cancelled"),"",IF(BOM!K76="","",BOM!K76))</f>
        <v/>
      </c>
      <c r="I70" s="5" t="str">
        <f aca="false">IF(OR(BOM!$D76="",BOM!$R76="Cancelled"),"",IF(BOM!M76="","",BOM!M76))</f>
        <v/>
      </c>
      <c r="J70" s="5" t="str">
        <f aca="false">IF(OR(BOM!$D76="",BOM!$R76="Cancelled"),"",IF(OR(BOM!R76="Received",BOM!R76="NSW Purchased"),"Received",IF(BOM!R76="Purchased – Not Received","Ordered",IF(BOM!R76="Finalized – Not Purchased","Design Released","In Design"))))</f>
        <v/>
      </c>
      <c r="K70" s="52" t="str">
        <f aca="false">IF(OR(BOM!$D76="",BOM!$R76="Cancelled"),"",IF(BOM!W76="","",BOM!W76))</f>
        <v/>
      </c>
    </row>
    <row r="71" customFormat="false" ht="15" hidden="false" customHeight="false" outlineLevel="0" collapsed="false">
      <c r="A71" s="5" t="str">
        <f aca="false">IF(OR(BOM!$D77="",BOM!$R77="Cancelled"),"",IF(BOM!A77="","",BOM!A77))</f>
        <v/>
      </c>
      <c r="B71" s="5" t="str">
        <f aca="false">IF(OR(BOM!$D77="",BOM!$R77="Cancelled"),"",IF(BOM!B77="","",BOM!B77))</f>
        <v/>
      </c>
      <c r="C71" s="5" t="str">
        <f aca="false">IF(OR(BOM!$D77="",BOM!$R77="Cancelled"),"",IF(BOM!C77="","",BOM!C77))</f>
        <v/>
      </c>
      <c r="D71" s="5" t="str">
        <f aca="false">IF(OR(BOM!$D77="",BOM!$R77="Cancelled"),"",IF(BOM!D77="","",BOM!D77))</f>
        <v/>
      </c>
      <c r="E71" s="5" t="str">
        <f aca="false">IF(OR(BOM!$D77="",BOM!$R77="Cancelled"),"",IF(BOM!E77="","",BOM!E77))</f>
        <v/>
      </c>
      <c r="F71" s="5" t="str">
        <f aca="false">IF(OR(BOM!$D77="",BOM!$R77="Cancelled"),"",IF(BOM!F77="","",BOM!F77))</f>
        <v/>
      </c>
      <c r="G71" s="5" t="str">
        <f aca="false">IF(OR(BOM!$D77="",BOM!$R77="Cancelled"),"",IF(BOM!J77="","",BOM!J77))</f>
        <v/>
      </c>
      <c r="H71" s="5" t="str">
        <f aca="false">IF(OR(BOM!$D77="",BOM!$R77="Cancelled"),"",IF(BOM!K77="","",BOM!K77))</f>
        <v/>
      </c>
      <c r="I71" s="5" t="str">
        <f aca="false">IF(OR(BOM!$D77="",BOM!$R77="Cancelled"),"",IF(BOM!M77="","",BOM!M77))</f>
        <v/>
      </c>
      <c r="J71" s="5" t="str">
        <f aca="false">IF(OR(BOM!$D77="",BOM!$R77="Cancelled"),"",IF(OR(BOM!R77="Received",BOM!R77="NSW Purchased"),"Received",IF(BOM!R77="Purchased – Not Received","Ordered",IF(BOM!R77="Finalized – Not Purchased","Design Released","In Design"))))</f>
        <v/>
      </c>
      <c r="K71" s="52" t="str">
        <f aca="false">IF(OR(BOM!$D77="",BOM!$R77="Cancelled"),"",IF(BOM!W77="","",BOM!W77))</f>
        <v/>
      </c>
    </row>
    <row r="72" customFormat="false" ht="15" hidden="false" customHeight="false" outlineLevel="0" collapsed="false">
      <c r="A72" s="5" t="str">
        <f aca="false">IF(OR(BOM!$D78="",BOM!$R78="Cancelled"),"",IF(BOM!A78="","",BOM!A78))</f>
        <v/>
      </c>
      <c r="B72" s="5" t="str">
        <f aca="false">IF(OR(BOM!$D78="",BOM!$R78="Cancelled"),"",IF(BOM!B78="","",BOM!B78))</f>
        <v/>
      </c>
      <c r="C72" s="5" t="str">
        <f aca="false">IF(OR(BOM!$D78="",BOM!$R78="Cancelled"),"",IF(BOM!C78="","",BOM!C78))</f>
        <v/>
      </c>
      <c r="D72" s="5" t="str">
        <f aca="false">IF(OR(BOM!$D78="",BOM!$R78="Cancelled"),"",IF(BOM!D78="","",BOM!D78))</f>
        <v/>
      </c>
      <c r="E72" s="5" t="str">
        <f aca="false">IF(OR(BOM!$D78="",BOM!$R78="Cancelled"),"",IF(BOM!E78="","",BOM!E78))</f>
        <v/>
      </c>
      <c r="F72" s="5" t="str">
        <f aca="false">IF(OR(BOM!$D78="",BOM!$R78="Cancelled"),"",IF(BOM!F78="","",BOM!F78))</f>
        <v/>
      </c>
      <c r="G72" s="5" t="str">
        <f aca="false">IF(OR(BOM!$D78="",BOM!$R78="Cancelled"),"",IF(BOM!J78="","",BOM!J78))</f>
        <v/>
      </c>
      <c r="H72" s="5" t="str">
        <f aca="false">IF(OR(BOM!$D78="",BOM!$R78="Cancelled"),"",IF(BOM!K78="","",BOM!K78))</f>
        <v/>
      </c>
      <c r="I72" s="5" t="str">
        <f aca="false">IF(OR(BOM!$D78="",BOM!$R78="Cancelled"),"",IF(BOM!M78="","",BOM!M78))</f>
        <v/>
      </c>
      <c r="J72" s="5" t="str">
        <f aca="false">IF(OR(BOM!$D78="",BOM!$R78="Cancelled"),"",IF(OR(BOM!R78="Received",BOM!R78="NSW Purchased"),"Received",IF(BOM!R78="Purchased – Not Received","Ordered",IF(BOM!R78="Finalized – Not Purchased","Design Released","In Design"))))</f>
        <v/>
      </c>
      <c r="K72" s="52" t="str">
        <f aca="false">IF(OR(BOM!$D78="",BOM!$R78="Cancelled"),"",IF(BOM!W78="","",BOM!W78))</f>
        <v/>
      </c>
    </row>
    <row r="73" customFormat="false" ht="15" hidden="false" customHeight="false" outlineLevel="0" collapsed="false">
      <c r="A73" s="5" t="str">
        <f aca="false">IF(OR(BOM!$D79="",BOM!$R79="Cancelled"),"",IF(BOM!A79="","",BOM!A79))</f>
        <v/>
      </c>
      <c r="B73" s="5" t="str">
        <f aca="false">IF(OR(BOM!$D79="",BOM!$R79="Cancelled"),"",IF(BOM!B79="","",BOM!B79))</f>
        <v/>
      </c>
      <c r="C73" s="5" t="str">
        <f aca="false">IF(OR(BOM!$D79="",BOM!$R79="Cancelled"),"",IF(BOM!C79="","",BOM!C79))</f>
        <v/>
      </c>
      <c r="D73" s="5" t="str">
        <f aca="false">IF(OR(BOM!$D79="",BOM!$R79="Cancelled"),"",IF(BOM!D79="","",BOM!D79))</f>
        <v/>
      </c>
      <c r="E73" s="5" t="str">
        <f aca="false">IF(OR(BOM!$D79="",BOM!$R79="Cancelled"),"",IF(BOM!E79="","",BOM!E79))</f>
        <v/>
      </c>
      <c r="F73" s="5" t="str">
        <f aca="false">IF(OR(BOM!$D79="",BOM!$R79="Cancelled"),"",IF(BOM!F79="","",BOM!F79))</f>
        <v/>
      </c>
      <c r="G73" s="5" t="str">
        <f aca="false">IF(OR(BOM!$D79="",BOM!$R79="Cancelled"),"",IF(BOM!J79="","",BOM!J79))</f>
        <v/>
      </c>
      <c r="H73" s="5" t="str">
        <f aca="false">IF(OR(BOM!$D79="",BOM!$R79="Cancelled"),"",IF(BOM!K79="","",BOM!K79))</f>
        <v/>
      </c>
      <c r="I73" s="5" t="str">
        <f aca="false">IF(OR(BOM!$D79="",BOM!$R79="Cancelled"),"",IF(BOM!M79="","",BOM!M79))</f>
        <v/>
      </c>
      <c r="J73" s="5" t="str">
        <f aca="false">IF(OR(BOM!$D79="",BOM!$R79="Cancelled"),"",IF(OR(BOM!R79="Received",BOM!R79="NSW Purchased"),"Received",IF(BOM!R79="Purchased – Not Received","Ordered",IF(BOM!R79="Finalized – Not Purchased","Design Released","In Design"))))</f>
        <v/>
      </c>
      <c r="K73" s="52" t="str">
        <f aca="false">IF(OR(BOM!$D79="",BOM!$R79="Cancelled"),"",IF(BOM!W79="","",BOM!W79))</f>
        <v/>
      </c>
    </row>
    <row r="74" customFormat="false" ht="15" hidden="false" customHeight="false" outlineLevel="0" collapsed="false">
      <c r="A74" s="5" t="str">
        <f aca="false">IF(OR(BOM!$D80="",BOM!$R80="Cancelled"),"",IF(BOM!A80="","",BOM!A80))</f>
        <v/>
      </c>
      <c r="B74" s="5" t="str">
        <f aca="false">IF(OR(BOM!$D80="",BOM!$R80="Cancelled"),"",IF(BOM!B80="","",BOM!B80))</f>
        <v/>
      </c>
      <c r="C74" s="5" t="str">
        <f aca="false">IF(OR(BOM!$D80="",BOM!$R80="Cancelled"),"",IF(BOM!C80="","",BOM!C80))</f>
        <v/>
      </c>
      <c r="D74" s="5" t="str">
        <f aca="false">IF(OR(BOM!$D80="",BOM!$R80="Cancelled"),"",IF(BOM!D80="","",BOM!D80))</f>
        <v/>
      </c>
      <c r="E74" s="5" t="str">
        <f aca="false">IF(OR(BOM!$D80="",BOM!$R80="Cancelled"),"",IF(BOM!E80="","",BOM!E80))</f>
        <v/>
      </c>
      <c r="F74" s="5" t="str">
        <f aca="false">IF(OR(BOM!$D80="",BOM!$R80="Cancelled"),"",IF(BOM!F80="","",BOM!F80))</f>
        <v/>
      </c>
      <c r="G74" s="5" t="str">
        <f aca="false">IF(OR(BOM!$D80="",BOM!$R80="Cancelled"),"",IF(BOM!J80="","",BOM!J80))</f>
        <v/>
      </c>
      <c r="H74" s="5" t="str">
        <f aca="false">IF(OR(BOM!$D80="",BOM!$R80="Cancelled"),"",IF(BOM!K80="","",BOM!K80))</f>
        <v/>
      </c>
      <c r="I74" s="5" t="str">
        <f aca="false">IF(OR(BOM!$D80="",BOM!$R80="Cancelled"),"",IF(BOM!M80="","",BOM!M80))</f>
        <v/>
      </c>
      <c r="J74" s="5" t="str">
        <f aca="false">IF(OR(BOM!$D80="",BOM!$R80="Cancelled"),"",IF(OR(BOM!R80="Received",BOM!R80="NSW Purchased"),"Received",IF(BOM!R80="Purchased – Not Received","Ordered",IF(BOM!R80="Finalized – Not Purchased","Design Released","In Design"))))</f>
        <v/>
      </c>
      <c r="K74" s="52" t="str">
        <f aca="false">IF(OR(BOM!$D80="",BOM!$R80="Cancelled"),"",IF(BOM!W80="","",BOM!W80))</f>
        <v/>
      </c>
    </row>
    <row r="75" customFormat="false" ht="15" hidden="false" customHeight="false" outlineLevel="0" collapsed="false">
      <c r="A75" s="5" t="str">
        <f aca="false">IF(OR(BOM!$D81="",BOM!$R81="Cancelled"),"",IF(BOM!A81="","",BOM!A81))</f>
        <v/>
      </c>
      <c r="B75" s="5" t="str">
        <f aca="false">IF(OR(BOM!$D81="",BOM!$R81="Cancelled"),"",IF(BOM!B81="","",BOM!B81))</f>
        <v/>
      </c>
      <c r="C75" s="5" t="str">
        <f aca="false">IF(OR(BOM!$D81="",BOM!$R81="Cancelled"),"",IF(BOM!C81="","",BOM!C81))</f>
        <v/>
      </c>
      <c r="D75" s="5" t="str">
        <f aca="false">IF(OR(BOM!$D81="",BOM!$R81="Cancelled"),"",IF(BOM!D81="","",BOM!D81))</f>
        <v/>
      </c>
      <c r="E75" s="5" t="str">
        <f aca="false">IF(OR(BOM!$D81="",BOM!$R81="Cancelled"),"",IF(BOM!E81="","",BOM!E81))</f>
        <v/>
      </c>
      <c r="F75" s="5" t="str">
        <f aca="false">IF(OR(BOM!$D81="",BOM!$R81="Cancelled"),"",IF(BOM!F81="","",BOM!F81))</f>
        <v/>
      </c>
      <c r="G75" s="5" t="str">
        <f aca="false">IF(OR(BOM!$D81="",BOM!$R81="Cancelled"),"",IF(BOM!J81="","",BOM!J81))</f>
        <v/>
      </c>
      <c r="H75" s="5" t="str">
        <f aca="false">IF(OR(BOM!$D81="",BOM!$R81="Cancelled"),"",IF(BOM!K81="","",BOM!K81))</f>
        <v/>
      </c>
      <c r="I75" s="5" t="str">
        <f aca="false">IF(OR(BOM!$D81="",BOM!$R81="Cancelled"),"",IF(BOM!M81="","",BOM!M81))</f>
        <v/>
      </c>
      <c r="J75" s="5" t="str">
        <f aca="false">IF(OR(BOM!$D81="",BOM!$R81="Cancelled"),"",IF(OR(BOM!R81="Received",BOM!R81="NSW Purchased"),"Received",IF(BOM!R81="Purchased – Not Received","Ordered",IF(BOM!R81="Finalized – Not Purchased","Design Released","In Design"))))</f>
        <v/>
      </c>
      <c r="K75" s="52" t="str">
        <f aca="false">IF(OR(BOM!$D81="",BOM!$R81="Cancelled"),"",IF(BOM!W81="","",BOM!W81))</f>
        <v/>
      </c>
    </row>
    <row r="76" customFormat="false" ht="15" hidden="false" customHeight="false" outlineLevel="0" collapsed="false">
      <c r="A76" s="5" t="str">
        <f aca="false">IF(OR(BOM!$D82="",BOM!$R82="Cancelled"),"",IF(BOM!A82="","",BOM!A82))</f>
        <v/>
      </c>
      <c r="B76" s="5" t="str">
        <f aca="false">IF(OR(BOM!$D82="",BOM!$R82="Cancelled"),"",IF(BOM!B82="","",BOM!B82))</f>
        <v/>
      </c>
      <c r="C76" s="5" t="str">
        <f aca="false">IF(OR(BOM!$D82="",BOM!$R82="Cancelled"),"",IF(BOM!C82="","",BOM!C82))</f>
        <v/>
      </c>
      <c r="D76" s="5" t="str">
        <f aca="false">IF(OR(BOM!$D82="",BOM!$R82="Cancelled"),"",IF(BOM!D82="","",BOM!D82))</f>
        <v/>
      </c>
      <c r="E76" s="5" t="str">
        <f aca="false">IF(OR(BOM!$D82="",BOM!$R82="Cancelled"),"",IF(BOM!E82="","",BOM!E82))</f>
        <v/>
      </c>
      <c r="F76" s="5" t="str">
        <f aca="false">IF(OR(BOM!$D82="",BOM!$R82="Cancelled"),"",IF(BOM!F82="","",BOM!F82))</f>
        <v/>
      </c>
      <c r="G76" s="5" t="str">
        <f aca="false">IF(OR(BOM!$D82="",BOM!$R82="Cancelled"),"",IF(BOM!J82="","",BOM!J82))</f>
        <v/>
      </c>
      <c r="H76" s="5" t="str">
        <f aca="false">IF(OR(BOM!$D82="",BOM!$R82="Cancelled"),"",IF(BOM!K82="","",BOM!K82))</f>
        <v/>
      </c>
      <c r="I76" s="5" t="str">
        <f aca="false">IF(OR(BOM!$D82="",BOM!$R82="Cancelled"),"",IF(BOM!M82="","",BOM!M82))</f>
        <v/>
      </c>
      <c r="J76" s="5" t="str">
        <f aca="false">IF(OR(BOM!$D82="",BOM!$R82="Cancelled"),"",IF(OR(BOM!R82="Received",BOM!R82="NSW Purchased"),"Received",IF(BOM!R82="Purchased – Not Received","Ordered",IF(BOM!R82="Finalized – Not Purchased","Design Released","In Design"))))</f>
        <v/>
      </c>
      <c r="K76" s="52" t="str">
        <f aca="false">IF(OR(BOM!$D82="",BOM!$R82="Cancelled"),"",IF(BOM!W82="","",BOM!W82))</f>
        <v/>
      </c>
    </row>
    <row r="77" customFormat="false" ht="15" hidden="false" customHeight="false" outlineLevel="0" collapsed="false">
      <c r="A77" s="5" t="str">
        <f aca="false">IF(OR(BOM!$D83="",BOM!$R83="Cancelled"),"",IF(BOM!A83="","",BOM!A83))</f>
        <v/>
      </c>
      <c r="B77" s="5" t="str">
        <f aca="false">IF(OR(BOM!$D83="",BOM!$R83="Cancelled"),"",IF(BOM!B83="","",BOM!B83))</f>
        <v/>
      </c>
      <c r="C77" s="5" t="str">
        <f aca="false">IF(OR(BOM!$D83="",BOM!$R83="Cancelled"),"",IF(BOM!C83="","",BOM!C83))</f>
        <v/>
      </c>
      <c r="D77" s="5" t="str">
        <f aca="false">IF(OR(BOM!$D83="",BOM!$R83="Cancelled"),"",IF(BOM!D83="","",BOM!D83))</f>
        <v/>
      </c>
      <c r="E77" s="5" t="str">
        <f aca="false">IF(OR(BOM!$D83="",BOM!$R83="Cancelled"),"",IF(BOM!E83="","",BOM!E83))</f>
        <v/>
      </c>
      <c r="F77" s="5" t="str">
        <f aca="false">IF(OR(BOM!$D83="",BOM!$R83="Cancelled"),"",IF(BOM!F83="","",BOM!F83))</f>
        <v/>
      </c>
      <c r="G77" s="5" t="str">
        <f aca="false">IF(OR(BOM!$D83="",BOM!$R83="Cancelled"),"",IF(BOM!J83="","",BOM!J83))</f>
        <v/>
      </c>
      <c r="H77" s="5" t="str">
        <f aca="false">IF(OR(BOM!$D83="",BOM!$R83="Cancelled"),"",IF(BOM!K83="","",BOM!K83))</f>
        <v/>
      </c>
      <c r="I77" s="5" t="str">
        <f aca="false">IF(OR(BOM!$D83="",BOM!$R83="Cancelled"),"",IF(BOM!M83="","",BOM!M83))</f>
        <v/>
      </c>
      <c r="J77" s="5" t="str">
        <f aca="false">IF(OR(BOM!$D83="",BOM!$R83="Cancelled"),"",IF(OR(BOM!R83="Received",BOM!R83="NSW Purchased"),"Received",IF(BOM!R83="Purchased – Not Received","Ordered",IF(BOM!R83="Finalized – Not Purchased","Design Released","In Design"))))</f>
        <v/>
      </c>
      <c r="K77" s="52" t="str">
        <f aca="false">IF(OR(BOM!$D83="",BOM!$R83="Cancelled"),"",IF(BOM!W83="","",BOM!W83))</f>
        <v/>
      </c>
    </row>
    <row r="78" customFormat="false" ht="15" hidden="false" customHeight="false" outlineLevel="0" collapsed="false">
      <c r="A78" s="5" t="str">
        <f aca="false">IF(OR(BOM!$D84="",BOM!$R84="Cancelled"),"",IF(BOM!A84="","",BOM!A84))</f>
        <v/>
      </c>
      <c r="B78" s="5" t="str">
        <f aca="false">IF(OR(BOM!$D84="",BOM!$R84="Cancelled"),"",IF(BOM!B84="","",BOM!B84))</f>
        <v/>
      </c>
      <c r="C78" s="5" t="str">
        <f aca="false">IF(OR(BOM!$D84="",BOM!$R84="Cancelled"),"",IF(BOM!C84="","",BOM!C84))</f>
        <v/>
      </c>
      <c r="D78" s="5" t="str">
        <f aca="false">IF(OR(BOM!$D84="",BOM!$R84="Cancelled"),"",IF(BOM!D84="","",BOM!D84))</f>
        <v/>
      </c>
      <c r="E78" s="5" t="str">
        <f aca="false">IF(OR(BOM!$D84="",BOM!$R84="Cancelled"),"",IF(BOM!E84="","",BOM!E84))</f>
        <v/>
      </c>
      <c r="F78" s="5" t="str">
        <f aca="false">IF(OR(BOM!$D84="",BOM!$R84="Cancelled"),"",IF(BOM!F84="","",BOM!F84))</f>
        <v/>
      </c>
      <c r="G78" s="5" t="str">
        <f aca="false">IF(OR(BOM!$D84="",BOM!$R84="Cancelled"),"",IF(BOM!J84="","",BOM!J84))</f>
        <v/>
      </c>
      <c r="H78" s="5" t="str">
        <f aca="false">IF(OR(BOM!$D84="",BOM!$R84="Cancelled"),"",IF(BOM!K84="","",BOM!K84))</f>
        <v/>
      </c>
      <c r="I78" s="5" t="str">
        <f aca="false">IF(OR(BOM!$D84="",BOM!$R84="Cancelled"),"",IF(BOM!M84="","",BOM!M84))</f>
        <v/>
      </c>
      <c r="J78" s="5" t="str">
        <f aca="false">IF(OR(BOM!$D84="",BOM!$R84="Cancelled"),"",IF(OR(BOM!R84="Received",BOM!R84="NSW Purchased"),"Received",IF(BOM!R84="Purchased – Not Received","Ordered",IF(BOM!R84="Finalized – Not Purchased","Design Released","In Design"))))</f>
        <v/>
      </c>
      <c r="K78" s="52" t="str">
        <f aca="false">IF(OR(BOM!$D84="",BOM!$R84="Cancelled"),"",IF(BOM!W84="","",BOM!W84))</f>
        <v/>
      </c>
    </row>
    <row r="79" customFormat="false" ht="15" hidden="false" customHeight="false" outlineLevel="0" collapsed="false">
      <c r="A79" s="5" t="str">
        <f aca="false">IF(OR(BOM!$D85="",BOM!$R85="Cancelled"),"",IF(BOM!A85="","",BOM!A85))</f>
        <v/>
      </c>
      <c r="B79" s="5" t="str">
        <f aca="false">IF(OR(BOM!$D85="",BOM!$R85="Cancelled"),"",IF(BOM!B85="","",BOM!B85))</f>
        <v/>
      </c>
      <c r="C79" s="5" t="str">
        <f aca="false">IF(OR(BOM!$D85="",BOM!$R85="Cancelled"),"",IF(BOM!C85="","",BOM!C85))</f>
        <v/>
      </c>
      <c r="D79" s="5" t="str">
        <f aca="false">IF(OR(BOM!$D85="",BOM!$R85="Cancelled"),"",IF(BOM!D85="","",BOM!D85))</f>
        <v/>
      </c>
      <c r="E79" s="5" t="str">
        <f aca="false">IF(OR(BOM!$D85="",BOM!$R85="Cancelled"),"",IF(BOM!E85="","",BOM!E85))</f>
        <v/>
      </c>
      <c r="F79" s="5" t="str">
        <f aca="false">IF(OR(BOM!$D85="",BOM!$R85="Cancelled"),"",IF(BOM!F85="","",BOM!F85))</f>
        <v/>
      </c>
      <c r="G79" s="5" t="str">
        <f aca="false">IF(OR(BOM!$D85="",BOM!$R85="Cancelled"),"",IF(BOM!J85="","",BOM!J85))</f>
        <v/>
      </c>
      <c r="H79" s="5" t="str">
        <f aca="false">IF(OR(BOM!$D85="",BOM!$R85="Cancelled"),"",IF(BOM!K85="","",BOM!K85))</f>
        <v/>
      </c>
      <c r="I79" s="5" t="str">
        <f aca="false">IF(OR(BOM!$D85="",BOM!$R85="Cancelled"),"",IF(BOM!M85="","",BOM!M85))</f>
        <v/>
      </c>
      <c r="J79" s="5" t="str">
        <f aca="false">IF(OR(BOM!$D85="",BOM!$R85="Cancelled"),"",IF(OR(BOM!R85="Received",BOM!R85="NSW Purchased"),"Received",IF(BOM!R85="Purchased – Not Received","Ordered",IF(BOM!R85="Finalized – Not Purchased","Design Released","In Design"))))</f>
        <v/>
      </c>
      <c r="K79" s="52" t="str">
        <f aca="false">IF(OR(BOM!$D85="",BOM!$R85="Cancelled"),"",IF(BOM!W85="","",BOM!W85))</f>
        <v/>
      </c>
    </row>
    <row r="80" customFormat="false" ht="15" hidden="false" customHeight="false" outlineLevel="0" collapsed="false">
      <c r="A80" s="5" t="str">
        <f aca="false">IF(OR(BOM!$D86="",BOM!$R86="Cancelled"),"",IF(BOM!A86="","",BOM!A86))</f>
        <v/>
      </c>
      <c r="B80" s="5" t="str">
        <f aca="false">IF(OR(BOM!$D86="",BOM!$R86="Cancelled"),"",IF(BOM!B86="","",BOM!B86))</f>
        <v/>
      </c>
      <c r="C80" s="5" t="str">
        <f aca="false">IF(OR(BOM!$D86="",BOM!$R86="Cancelled"),"",IF(BOM!C86="","",BOM!C86))</f>
        <v/>
      </c>
      <c r="D80" s="5" t="str">
        <f aca="false">IF(OR(BOM!$D86="",BOM!$R86="Cancelled"),"",IF(BOM!D86="","",BOM!D86))</f>
        <v/>
      </c>
      <c r="E80" s="5" t="str">
        <f aca="false">IF(OR(BOM!$D86="",BOM!$R86="Cancelled"),"",IF(BOM!E86="","",BOM!E86))</f>
        <v/>
      </c>
      <c r="F80" s="5" t="str">
        <f aca="false">IF(OR(BOM!$D86="",BOM!$R86="Cancelled"),"",IF(BOM!F86="","",BOM!F86))</f>
        <v/>
      </c>
      <c r="G80" s="5" t="str">
        <f aca="false">IF(OR(BOM!$D86="",BOM!$R86="Cancelled"),"",IF(BOM!J86="","",BOM!J86))</f>
        <v/>
      </c>
      <c r="H80" s="5" t="str">
        <f aca="false">IF(OR(BOM!$D86="",BOM!$R86="Cancelled"),"",IF(BOM!K86="","",BOM!K86))</f>
        <v/>
      </c>
      <c r="I80" s="5" t="str">
        <f aca="false">IF(OR(BOM!$D86="",BOM!$R86="Cancelled"),"",IF(BOM!M86="","",BOM!M86))</f>
        <v/>
      </c>
      <c r="J80" s="5" t="str">
        <f aca="false">IF(OR(BOM!$D86="",BOM!$R86="Cancelled"),"",IF(OR(BOM!R86="Received",BOM!R86="NSW Purchased"),"Received",IF(BOM!R86="Purchased – Not Received","Ordered",IF(BOM!R86="Finalized – Not Purchased","Design Released","In Design"))))</f>
        <v/>
      </c>
      <c r="K80" s="52" t="str">
        <f aca="false">IF(OR(BOM!$D86="",BOM!$R86="Cancelled"),"",IF(BOM!W86="","",BOM!W86))</f>
        <v/>
      </c>
    </row>
    <row r="81" customFormat="false" ht="15" hidden="false" customHeight="false" outlineLevel="0" collapsed="false">
      <c r="A81" s="5" t="str">
        <f aca="false">IF(OR(BOM!$D87="",BOM!$R87="Cancelled"),"",IF(BOM!A87="","",BOM!A87))</f>
        <v/>
      </c>
      <c r="B81" s="5" t="str">
        <f aca="false">IF(OR(BOM!$D87="",BOM!$R87="Cancelled"),"",IF(BOM!B87="","",BOM!B87))</f>
        <v/>
      </c>
      <c r="C81" s="5" t="str">
        <f aca="false">IF(OR(BOM!$D87="",BOM!$R87="Cancelled"),"",IF(BOM!C87="","",BOM!C87))</f>
        <v/>
      </c>
      <c r="D81" s="5" t="str">
        <f aca="false">IF(OR(BOM!$D87="",BOM!$R87="Cancelled"),"",IF(BOM!D87="","",BOM!D87))</f>
        <v/>
      </c>
      <c r="E81" s="5" t="str">
        <f aca="false">IF(OR(BOM!$D87="",BOM!$R87="Cancelled"),"",IF(BOM!E87="","",BOM!E87))</f>
        <v/>
      </c>
      <c r="F81" s="5" t="str">
        <f aca="false">IF(OR(BOM!$D87="",BOM!$R87="Cancelled"),"",IF(BOM!F87="","",BOM!F87))</f>
        <v/>
      </c>
      <c r="G81" s="5" t="str">
        <f aca="false">IF(OR(BOM!$D87="",BOM!$R87="Cancelled"),"",IF(BOM!J87="","",BOM!J87))</f>
        <v/>
      </c>
      <c r="H81" s="5" t="str">
        <f aca="false">IF(OR(BOM!$D87="",BOM!$R87="Cancelled"),"",IF(BOM!K87="","",BOM!K87))</f>
        <v/>
      </c>
      <c r="I81" s="5" t="str">
        <f aca="false">IF(OR(BOM!$D87="",BOM!$R87="Cancelled"),"",IF(BOM!M87="","",BOM!M87))</f>
        <v/>
      </c>
      <c r="J81" s="5" t="str">
        <f aca="false">IF(OR(BOM!$D87="",BOM!$R87="Cancelled"),"",IF(OR(BOM!R87="Received",BOM!R87="NSW Purchased"),"Received",IF(BOM!R87="Purchased – Not Received","Ordered",IF(BOM!R87="Finalized – Not Purchased","Design Released","In Design"))))</f>
        <v/>
      </c>
      <c r="K81" s="52" t="str">
        <f aca="false">IF(OR(BOM!$D87="",BOM!$R87="Cancelled"),"",IF(BOM!W87="","",BOM!W87))</f>
        <v/>
      </c>
    </row>
    <row r="82" customFormat="false" ht="15" hidden="false" customHeight="false" outlineLevel="0" collapsed="false">
      <c r="A82" s="5" t="str">
        <f aca="false">IF(OR(BOM!$D88="",BOM!$R88="Cancelled"),"",IF(BOM!A88="","",BOM!A88))</f>
        <v/>
      </c>
      <c r="B82" s="5" t="str">
        <f aca="false">IF(OR(BOM!$D88="",BOM!$R88="Cancelled"),"",IF(BOM!B88="","",BOM!B88))</f>
        <v/>
      </c>
      <c r="C82" s="5" t="str">
        <f aca="false">IF(OR(BOM!$D88="",BOM!$R88="Cancelled"),"",IF(BOM!C88="","",BOM!C88))</f>
        <v/>
      </c>
      <c r="D82" s="5" t="str">
        <f aca="false">IF(OR(BOM!$D88="",BOM!$R88="Cancelled"),"",IF(BOM!D88="","",BOM!D88))</f>
        <v/>
      </c>
      <c r="E82" s="5" t="str">
        <f aca="false">IF(OR(BOM!$D88="",BOM!$R88="Cancelled"),"",IF(BOM!E88="","",BOM!E88))</f>
        <v/>
      </c>
      <c r="F82" s="5" t="str">
        <f aca="false">IF(OR(BOM!$D88="",BOM!$R88="Cancelled"),"",IF(BOM!F88="","",BOM!F88))</f>
        <v/>
      </c>
      <c r="G82" s="5" t="str">
        <f aca="false">IF(OR(BOM!$D88="",BOM!$R88="Cancelled"),"",IF(BOM!J88="","",BOM!J88))</f>
        <v/>
      </c>
      <c r="H82" s="5" t="str">
        <f aca="false">IF(OR(BOM!$D88="",BOM!$R88="Cancelled"),"",IF(BOM!K88="","",BOM!K88))</f>
        <v/>
      </c>
      <c r="I82" s="5" t="str">
        <f aca="false">IF(OR(BOM!$D88="",BOM!$R88="Cancelled"),"",IF(BOM!M88="","",BOM!M88))</f>
        <v/>
      </c>
      <c r="J82" s="5" t="str">
        <f aca="false">IF(OR(BOM!$D88="",BOM!$R88="Cancelled"),"",IF(OR(BOM!R88="Received",BOM!R88="NSW Purchased"),"Received",IF(BOM!R88="Purchased – Not Received","Ordered",IF(BOM!R88="Finalized – Not Purchased","Design Released","In Design"))))</f>
        <v/>
      </c>
      <c r="K82" s="52" t="str">
        <f aca="false">IF(OR(BOM!$D88="",BOM!$R88="Cancelled"),"",IF(BOM!W88="","",BOM!W88))</f>
        <v/>
      </c>
    </row>
    <row r="83" customFormat="false" ht="15" hidden="false" customHeight="false" outlineLevel="0" collapsed="false">
      <c r="A83" s="5" t="str">
        <f aca="false">IF(OR(BOM!$D89="",BOM!$R89="Cancelled"),"",IF(BOM!A89="","",BOM!A89))</f>
        <v/>
      </c>
      <c r="B83" s="5" t="str">
        <f aca="false">IF(OR(BOM!$D89="",BOM!$R89="Cancelled"),"",IF(BOM!B89="","",BOM!B89))</f>
        <v/>
      </c>
      <c r="C83" s="5" t="str">
        <f aca="false">IF(OR(BOM!$D89="",BOM!$R89="Cancelled"),"",IF(BOM!C89="","",BOM!C89))</f>
        <v/>
      </c>
      <c r="D83" s="5" t="str">
        <f aca="false">IF(OR(BOM!$D89="",BOM!$R89="Cancelled"),"",IF(BOM!D89="","",BOM!D89))</f>
        <v/>
      </c>
      <c r="E83" s="5" t="str">
        <f aca="false">IF(OR(BOM!$D89="",BOM!$R89="Cancelled"),"",IF(BOM!E89="","",BOM!E89))</f>
        <v/>
      </c>
      <c r="F83" s="5" t="str">
        <f aca="false">IF(OR(BOM!$D89="",BOM!$R89="Cancelled"),"",IF(BOM!F89="","",BOM!F89))</f>
        <v/>
      </c>
      <c r="G83" s="5" t="str">
        <f aca="false">IF(OR(BOM!$D89="",BOM!$R89="Cancelled"),"",IF(BOM!J89="","",BOM!J89))</f>
        <v/>
      </c>
      <c r="H83" s="5" t="str">
        <f aca="false">IF(OR(BOM!$D89="",BOM!$R89="Cancelled"),"",IF(BOM!K89="","",BOM!K89))</f>
        <v/>
      </c>
      <c r="I83" s="5" t="str">
        <f aca="false">IF(OR(BOM!$D89="",BOM!$R89="Cancelled"),"",IF(BOM!M89="","",BOM!M89))</f>
        <v/>
      </c>
      <c r="J83" s="5" t="str">
        <f aca="false">IF(OR(BOM!$D89="",BOM!$R89="Cancelled"),"",IF(OR(BOM!R89="Received",BOM!R89="NSW Purchased"),"Received",IF(BOM!R89="Purchased – Not Received","Ordered",IF(BOM!R89="Finalized – Not Purchased","Design Released","In Design"))))</f>
        <v/>
      </c>
      <c r="K83" s="52" t="str">
        <f aca="false">IF(OR(BOM!$D89="",BOM!$R89="Cancelled"),"",IF(BOM!W89="","",BOM!W89))</f>
        <v/>
      </c>
    </row>
    <row r="84" customFormat="false" ht="15" hidden="false" customHeight="false" outlineLevel="0" collapsed="false">
      <c r="A84" s="5" t="str">
        <f aca="false">IF(OR(BOM!$D90="",BOM!$R90="Cancelled"),"",IF(BOM!A90="","",BOM!A90))</f>
        <v/>
      </c>
      <c r="B84" s="5" t="str">
        <f aca="false">IF(OR(BOM!$D90="",BOM!$R90="Cancelled"),"",IF(BOM!B90="","",BOM!B90))</f>
        <v/>
      </c>
      <c r="C84" s="5" t="str">
        <f aca="false">IF(OR(BOM!$D90="",BOM!$R90="Cancelled"),"",IF(BOM!C90="","",BOM!C90))</f>
        <v/>
      </c>
      <c r="D84" s="5" t="str">
        <f aca="false">IF(OR(BOM!$D90="",BOM!$R90="Cancelled"),"",IF(BOM!D90="","",BOM!D90))</f>
        <v/>
      </c>
      <c r="E84" s="5" t="str">
        <f aca="false">IF(OR(BOM!$D90="",BOM!$R90="Cancelled"),"",IF(BOM!E90="","",BOM!E90))</f>
        <v/>
      </c>
      <c r="F84" s="5" t="str">
        <f aca="false">IF(OR(BOM!$D90="",BOM!$R90="Cancelled"),"",IF(BOM!F90="","",BOM!F90))</f>
        <v/>
      </c>
      <c r="G84" s="5" t="str">
        <f aca="false">IF(OR(BOM!$D90="",BOM!$R90="Cancelled"),"",IF(BOM!J90="","",BOM!J90))</f>
        <v/>
      </c>
      <c r="H84" s="5" t="str">
        <f aca="false">IF(OR(BOM!$D90="",BOM!$R90="Cancelled"),"",IF(BOM!K90="","",BOM!K90))</f>
        <v/>
      </c>
      <c r="I84" s="5" t="str">
        <f aca="false">IF(OR(BOM!$D90="",BOM!$R90="Cancelled"),"",IF(BOM!M90="","",BOM!M90))</f>
        <v/>
      </c>
      <c r="J84" s="5" t="str">
        <f aca="false">IF(OR(BOM!$D90="",BOM!$R90="Cancelled"),"",IF(OR(BOM!R90="Received",BOM!R90="NSW Purchased"),"Received",IF(BOM!R90="Purchased – Not Received","Ordered",IF(BOM!R90="Finalized – Not Purchased","Design Released","In Design"))))</f>
        <v/>
      </c>
      <c r="K84" s="52" t="str">
        <f aca="false">IF(OR(BOM!$D90="",BOM!$R90="Cancelled"),"",IF(BOM!W90="","",BOM!W90))</f>
        <v/>
      </c>
    </row>
    <row r="85" customFormat="false" ht="15" hidden="false" customHeight="false" outlineLevel="0" collapsed="false">
      <c r="A85" s="5" t="str">
        <f aca="false">IF(OR(BOM!$D91="",BOM!$R91="Cancelled"),"",IF(BOM!A91="","",BOM!A91))</f>
        <v/>
      </c>
      <c r="B85" s="5" t="str">
        <f aca="false">IF(OR(BOM!$D91="",BOM!$R91="Cancelled"),"",IF(BOM!B91="","",BOM!B91))</f>
        <v/>
      </c>
      <c r="C85" s="5" t="str">
        <f aca="false">IF(OR(BOM!$D91="",BOM!$R91="Cancelled"),"",IF(BOM!C91="","",BOM!C91))</f>
        <v/>
      </c>
      <c r="D85" s="5" t="str">
        <f aca="false">IF(OR(BOM!$D91="",BOM!$R91="Cancelled"),"",IF(BOM!D91="","",BOM!D91))</f>
        <v/>
      </c>
      <c r="E85" s="5" t="str">
        <f aca="false">IF(OR(BOM!$D91="",BOM!$R91="Cancelled"),"",IF(BOM!E91="","",BOM!E91))</f>
        <v/>
      </c>
      <c r="F85" s="5" t="str">
        <f aca="false">IF(OR(BOM!$D91="",BOM!$R91="Cancelled"),"",IF(BOM!F91="","",BOM!F91))</f>
        <v/>
      </c>
      <c r="G85" s="5" t="str">
        <f aca="false">IF(OR(BOM!$D91="",BOM!$R91="Cancelled"),"",IF(BOM!J91="","",BOM!J91))</f>
        <v/>
      </c>
      <c r="H85" s="5" t="str">
        <f aca="false">IF(OR(BOM!$D91="",BOM!$R91="Cancelled"),"",IF(BOM!K91="","",BOM!K91))</f>
        <v/>
      </c>
      <c r="I85" s="5" t="str">
        <f aca="false">IF(OR(BOM!$D91="",BOM!$R91="Cancelled"),"",IF(BOM!M91="","",BOM!M91))</f>
        <v/>
      </c>
      <c r="J85" s="5" t="str">
        <f aca="false">IF(OR(BOM!$D91="",BOM!$R91="Cancelled"),"",IF(OR(BOM!R91="Received",BOM!R91="NSW Purchased"),"Received",IF(BOM!R91="Purchased – Not Received","Ordered",IF(BOM!R91="Finalized – Not Purchased","Design Released","In Design"))))</f>
        <v/>
      </c>
      <c r="K85" s="52" t="str">
        <f aca="false">IF(OR(BOM!$D91="",BOM!$R91="Cancelled"),"",IF(BOM!W91="","",BOM!W91))</f>
        <v/>
      </c>
    </row>
    <row r="86" customFormat="false" ht="15" hidden="false" customHeight="false" outlineLevel="0" collapsed="false">
      <c r="A86" s="5" t="str">
        <f aca="false">IF(OR(BOM!$D92="",BOM!$R92="Cancelled"),"",IF(BOM!A92="","",BOM!A92))</f>
        <v/>
      </c>
      <c r="B86" s="5" t="str">
        <f aca="false">IF(OR(BOM!$D92="",BOM!$R92="Cancelled"),"",IF(BOM!B92="","",BOM!B92))</f>
        <v/>
      </c>
      <c r="C86" s="5" t="str">
        <f aca="false">IF(OR(BOM!$D92="",BOM!$R92="Cancelled"),"",IF(BOM!C92="","",BOM!C92))</f>
        <v/>
      </c>
      <c r="D86" s="5" t="str">
        <f aca="false">IF(OR(BOM!$D92="",BOM!$R92="Cancelled"),"",IF(BOM!D92="","",BOM!D92))</f>
        <v/>
      </c>
      <c r="E86" s="5" t="str">
        <f aca="false">IF(OR(BOM!$D92="",BOM!$R92="Cancelled"),"",IF(BOM!E92="","",BOM!E92))</f>
        <v/>
      </c>
      <c r="F86" s="5" t="str">
        <f aca="false">IF(OR(BOM!$D92="",BOM!$R92="Cancelled"),"",IF(BOM!F92="","",BOM!F92))</f>
        <v/>
      </c>
      <c r="G86" s="5" t="str">
        <f aca="false">IF(OR(BOM!$D92="",BOM!$R92="Cancelled"),"",IF(BOM!J92="","",BOM!J92))</f>
        <v/>
      </c>
      <c r="H86" s="5" t="str">
        <f aca="false">IF(OR(BOM!$D92="",BOM!$R92="Cancelled"),"",IF(BOM!K92="","",BOM!K92))</f>
        <v/>
      </c>
      <c r="I86" s="5" t="str">
        <f aca="false">IF(OR(BOM!$D92="",BOM!$R92="Cancelled"),"",IF(BOM!M92="","",BOM!M92))</f>
        <v/>
      </c>
      <c r="J86" s="5" t="str">
        <f aca="false">IF(OR(BOM!$D92="",BOM!$R92="Cancelled"),"",IF(OR(BOM!R92="Received",BOM!R92="NSW Purchased"),"Received",IF(BOM!R92="Purchased – Not Received","Ordered",IF(BOM!R92="Finalized – Not Purchased","Design Released","In Design"))))</f>
        <v/>
      </c>
      <c r="K86" s="52" t="str">
        <f aca="false">IF(OR(BOM!$D92="",BOM!$R92="Cancelled"),"",IF(BOM!W92="","",BOM!W92))</f>
        <v/>
      </c>
    </row>
    <row r="87" customFormat="false" ht="15" hidden="false" customHeight="false" outlineLevel="0" collapsed="false">
      <c r="A87" s="5" t="str">
        <f aca="false">IF(OR(BOM!$D93="",BOM!$R93="Cancelled"),"",IF(BOM!A93="","",BOM!A93))</f>
        <v/>
      </c>
      <c r="B87" s="5" t="str">
        <f aca="false">IF(OR(BOM!$D93="",BOM!$R93="Cancelled"),"",IF(BOM!B93="","",BOM!B93))</f>
        <v/>
      </c>
      <c r="C87" s="5" t="str">
        <f aca="false">IF(OR(BOM!$D93="",BOM!$R93="Cancelled"),"",IF(BOM!C93="","",BOM!C93))</f>
        <v/>
      </c>
      <c r="D87" s="5" t="str">
        <f aca="false">IF(OR(BOM!$D93="",BOM!$R93="Cancelled"),"",IF(BOM!D93="","",BOM!D93))</f>
        <v/>
      </c>
      <c r="E87" s="5" t="str">
        <f aca="false">IF(OR(BOM!$D93="",BOM!$R93="Cancelled"),"",IF(BOM!E93="","",BOM!E93))</f>
        <v/>
      </c>
      <c r="F87" s="5" t="str">
        <f aca="false">IF(OR(BOM!$D93="",BOM!$R93="Cancelled"),"",IF(BOM!F93="","",BOM!F93))</f>
        <v/>
      </c>
      <c r="G87" s="5" t="str">
        <f aca="false">IF(OR(BOM!$D93="",BOM!$R93="Cancelled"),"",IF(BOM!J93="","",BOM!J93))</f>
        <v/>
      </c>
      <c r="H87" s="5" t="str">
        <f aca="false">IF(OR(BOM!$D93="",BOM!$R93="Cancelled"),"",IF(BOM!K93="","",BOM!K93))</f>
        <v/>
      </c>
      <c r="I87" s="5" t="str">
        <f aca="false">IF(OR(BOM!$D93="",BOM!$R93="Cancelled"),"",IF(BOM!M93="","",BOM!M93))</f>
        <v/>
      </c>
      <c r="J87" s="5" t="str">
        <f aca="false">IF(OR(BOM!$D93="",BOM!$R93="Cancelled"),"",IF(OR(BOM!R93="Received",BOM!R93="NSW Purchased"),"Received",IF(BOM!R93="Purchased – Not Received","Ordered",IF(BOM!R93="Finalized – Not Purchased","Design Released","In Design"))))</f>
        <v/>
      </c>
      <c r="K87" s="52" t="str">
        <f aca="false">IF(OR(BOM!$D93="",BOM!$R93="Cancelled"),"",IF(BOM!W93="","",BOM!W93))</f>
        <v/>
      </c>
    </row>
    <row r="88" customFormat="false" ht="15" hidden="false" customHeight="false" outlineLevel="0" collapsed="false">
      <c r="A88" s="5" t="str">
        <f aca="false">IF(OR(BOM!$D94="",BOM!$R94="Cancelled"),"",IF(BOM!A94="","",BOM!A94))</f>
        <v/>
      </c>
      <c r="B88" s="5" t="str">
        <f aca="false">IF(OR(BOM!$D94="",BOM!$R94="Cancelled"),"",IF(BOM!B94="","",BOM!B94))</f>
        <v/>
      </c>
      <c r="C88" s="5" t="str">
        <f aca="false">IF(OR(BOM!$D94="",BOM!$R94="Cancelled"),"",IF(BOM!C94="","",BOM!C94))</f>
        <v/>
      </c>
      <c r="D88" s="5" t="str">
        <f aca="false">IF(OR(BOM!$D94="",BOM!$R94="Cancelled"),"",IF(BOM!D94="","",BOM!D94))</f>
        <v/>
      </c>
      <c r="E88" s="5" t="str">
        <f aca="false">IF(OR(BOM!$D94="",BOM!$R94="Cancelled"),"",IF(BOM!E94="","",BOM!E94))</f>
        <v/>
      </c>
      <c r="F88" s="5" t="str">
        <f aca="false">IF(OR(BOM!$D94="",BOM!$R94="Cancelled"),"",IF(BOM!F94="","",BOM!F94))</f>
        <v/>
      </c>
      <c r="G88" s="5" t="str">
        <f aca="false">IF(OR(BOM!$D94="",BOM!$R94="Cancelled"),"",IF(BOM!J94="","",BOM!J94))</f>
        <v/>
      </c>
      <c r="H88" s="5" t="str">
        <f aca="false">IF(OR(BOM!$D94="",BOM!$R94="Cancelled"),"",IF(BOM!K94="","",BOM!K94))</f>
        <v/>
      </c>
      <c r="I88" s="5" t="str">
        <f aca="false">IF(OR(BOM!$D94="",BOM!$R94="Cancelled"),"",IF(BOM!M94="","",BOM!M94))</f>
        <v/>
      </c>
      <c r="J88" s="5" t="str">
        <f aca="false">IF(OR(BOM!$D94="",BOM!$R94="Cancelled"),"",IF(OR(BOM!R94="Received",BOM!R94="NSW Purchased"),"Received",IF(BOM!R94="Purchased – Not Received","Ordered",IF(BOM!R94="Finalized – Not Purchased","Design Released","In Design"))))</f>
        <v/>
      </c>
      <c r="K88" s="52" t="str">
        <f aca="false">IF(OR(BOM!$D94="",BOM!$R94="Cancelled"),"",IF(BOM!W94="","",BOM!W94))</f>
        <v/>
      </c>
    </row>
    <row r="89" customFormat="false" ht="15" hidden="false" customHeight="false" outlineLevel="0" collapsed="false">
      <c r="A89" s="5" t="str">
        <f aca="false">IF(OR(BOM!$D95="",BOM!$R95="Cancelled"),"",IF(BOM!A95="","",BOM!A95))</f>
        <v/>
      </c>
      <c r="B89" s="5" t="str">
        <f aca="false">IF(OR(BOM!$D95="",BOM!$R95="Cancelled"),"",IF(BOM!B95="","",BOM!B95))</f>
        <v/>
      </c>
      <c r="C89" s="5" t="str">
        <f aca="false">IF(OR(BOM!$D95="",BOM!$R95="Cancelled"),"",IF(BOM!C95="","",BOM!C95))</f>
        <v/>
      </c>
      <c r="D89" s="5" t="str">
        <f aca="false">IF(OR(BOM!$D95="",BOM!$R95="Cancelled"),"",IF(BOM!D95="","",BOM!D95))</f>
        <v/>
      </c>
      <c r="E89" s="5" t="str">
        <f aca="false">IF(OR(BOM!$D95="",BOM!$R95="Cancelled"),"",IF(BOM!E95="","",BOM!E95))</f>
        <v/>
      </c>
      <c r="F89" s="5" t="str">
        <f aca="false">IF(OR(BOM!$D95="",BOM!$R95="Cancelled"),"",IF(BOM!F95="","",BOM!F95))</f>
        <v/>
      </c>
      <c r="G89" s="5" t="str">
        <f aca="false">IF(OR(BOM!$D95="",BOM!$R95="Cancelled"),"",IF(BOM!J95="","",BOM!J95))</f>
        <v/>
      </c>
      <c r="H89" s="5" t="str">
        <f aca="false">IF(OR(BOM!$D95="",BOM!$R95="Cancelled"),"",IF(BOM!K95="","",BOM!K95))</f>
        <v/>
      </c>
      <c r="I89" s="5" t="str">
        <f aca="false">IF(OR(BOM!$D95="",BOM!$R95="Cancelled"),"",IF(BOM!M95="","",BOM!M95))</f>
        <v/>
      </c>
      <c r="J89" s="5" t="str">
        <f aca="false">IF(OR(BOM!$D95="",BOM!$R95="Cancelled"),"",IF(OR(BOM!R95="Received",BOM!R95="NSW Purchased"),"Received",IF(BOM!R95="Purchased – Not Received","Ordered",IF(BOM!R95="Finalized – Not Purchased","Design Released","In Design"))))</f>
        <v/>
      </c>
      <c r="K89" s="52" t="str">
        <f aca="false">IF(OR(BOM!$D95="",BOM!$R95="Cancelled"),"",IF(BOM!W95="","",BOM!W95))</f>
        <v/>
      </c>
    </row>
    <row r="90" customFormat="false" ht="15" hidden="false" customHeight="false" outlineLevel="0" collapsed="false">
      <c r="A90" s="5" t="str">
        <f aca="false">IF(OR(BOM!$D96="",BOM!$R96="Cancelled"),"",IF(BOM!A96="","",BOM!A96))</f>
        <v/>
      </c>
      <c r="B90" s="5" t="str">
        <f aca="false">IF(OR(BOM!$D96="",BOM!$R96="Cancelled"),"",IF(BOM!B96="","",BOM!B96))</f>
        <v/>
      </c>
      <c r="C90" s="5" t="str">
        <f aca="false">IF(OR(BOM!$D96="",BOM!$R96="Cancelled"),"",IF(BOM!C96="","",BOM!C96))</f>
        <v/>
      </c>
      <c r="D90" s="5" t="str">
        <f aca="false">IF(OR(BOM!$D96="",BOM!$R96="Cancelled"),"",IF(BOM!D96="","",BOM!D96))</f>
        <v/>
      </c>
      <c r="E90" s="5" t="str">
        <f aca="false">IF(OR(BOM!$D96="",BOM!$R96="Cancelled"),"",IF(BOM!E96="","",BOM!E96))</f>
        <v/>
      </c>
      <c r="F90" s="5" t="str">
        <f aca="false">IF(OR(BOM!$D96="",BOM!$R96="Cancelled"),"",IF(BOM!F96="","",BOM!F96))</f>
        <v/>
      </c>
      <c r="G90" s="5" t="str">
        <f aca="false">IF(OR(BOM!$D96="",BOM!$R96="Cancelled"),"",IF(BOM!J96="","",BOM!J96))</f>
        <v/>
      </c>
      <c r="H90" s="5" t="str">
        <f aca="false">IF(OR(BOM!$D96="",BOM!$R96="Cancelled"),"",IF(BOM!K96="","",BOM!K96))</f>
        <v/>
      </c>
      <c r="I90" s="5" t="str">
        <f aca="false">IF(OR(BOM!$D96="",BOM!$R96="Cancelled"),"",IF(BOM!M96="","",BOM!M96))</f>
        <v/>
      </c>
      <c r="J90" s="5" t="str">
        <f aca="false">IF(OR(BOM!$D96="",BOM!$R96="Cancelled"),"",IF(OR(BOM!R96="Received",BOM!R96="NSW Purchased"),"Received",IF(BOM!R96="Purchased – Not Received","Ordered",IF(BOM!R96="Finalized – Not Purchased","Design Released","In Design"))))</f>
        <v/>
      </c>
      <c r="K90" s="52" t="str">
        <f aca="false">IF(OR(BOM!$D96="",BOM!$R96="Cancelled"),"",IF(BOM!W96="","",BOM!W96))</f>
        <v/>
      </c>
    </row>
    <row r="91" customFormat="false" ht="15" hidden="false" customHeight="false" outlineLevel="0" collapsed="false">
      <c r="A91" s="5" t="str">
        <f aca="false">IF(OR(BOM!$D97="",BOM!$R97="Cancelled"),"",IF(BOM!A97="","",BOM!A97))</f>
        <v/>
      </c>
      <c r="B91" s="5" t="str">
        <f aca="false">IF(OR(BOM!$D97="",BOM!$R97="Cancelled"),"",IF(BOM!B97="","",BOM!B97))</f>
        <v/>
      </c>
      <c r="C91" s="5" t="str">
        <f aca="false">IF(OR(BOM!$D97="",BOM!$R97="Cancelled"),"",IF(BOM!C97="","",BOM!C97))</f>
        <v/>
      </c>
      <c r="D91" s="5" t="str">
        <f aca="false">IF(OR(BOM!$D97="",BOM!$R97="Cancelled"),"",IF(BOM!D97="","",BOM!D97))</f>
        <v/>
      </c>
      <c r="E91" s="5" t="str">
        <f aca="false">IF(OR(BOM!$D97="",BOM!$R97="Cancelled"),"",IF(BOM!E97="","",BOM!E97))</f>
        <v/>
      </c>
      <c r="F91" s="5" t="str">
        <f aca="false">IF(OR(BOM!$D97="",BOM!$R97="Cancelled"),"",IF(BOM!F97="","",BOM!F97))</f>
        <v/>
      </c>
      <c r="G91" s="5" t="str">
        <f aca="false">IF(OR(BOM!$D97="",BOM!$R97="Cancelled"),"",IF(BOM!J97="","",BOM!J97))</f>
        <v/>
      </c>
      <c r="H91" s="5" t="str">
        <f aca="false">IF(OR(BOM!$D97="",BOM!$R97="Cancelled"),"",IF(BOM!K97="","",BOM!K97))</f>
        <v/>
      </c>
      <c r="I91" s="5" t="str">
        <f aca="false">IF(OR(BOM!$D97="",BOM!$R97="Cancelled"),"",IF(BOM!M97="","",BOM!M97))</f>
        <v/>
      </c>
      <c r="J91" s="5" t="str">
        <f aca="false">IF(OR(BOM!$D97="",BOM!$R97="Cancelled"),"",IF(OR(BOM!R97="Received",BOM!R97="NSW Purchased"),"Received",IF(BOM!R97="Purchased – Not Received","Ordered",IF(BOM!R97="Finalized – Not Purchased","Design Released","In Design"))))</f>
        <v/>
      </c>
      <c r="K91" s="52" t="str">
        <f aca="false">IF(OR(BOM!$D97="",BOM!$R97="Cancelled"),"",IF(BOM!W97="","",BOM!W97))</f>
        <v/>
      </c>
    </row>
    <row r="92" customFormat="false" ht="15" hidden="false" customHeight="false" outlineLevel="0" collapsed="false">
      <c r="A92" s="5" t="str">
        <f aca="false">IF(OR(BOM!$D98="",BOM!$R98="Cancelled"),"",IF(BOM!A98="","",BOM!A98))</f>
        <v/>
      </c>
      <c r="B92" s="5" t="str">
        <f aca="false">IF(OR(BOM!$D98="",BOM!$R98="Cancelled"),"",IF(BOM!B98="","",BOM!B98))</f>
        <v/>
      </c>
      <c r="C92" s="5" t="str">
        <f aca="false">IF(OR(BOM!$D98="",BOM!$R98="Cancelled"),"",IF(BOM!C98="","",BOM!C98))</f>
        <v/>
      </c>
      <c r="D92" s="5" t="str">
        <f aca="false">IF(OR(BOM!$D98="",BOM!$R98="Cancelled"),"",IF(BOM!D98="","",BOM!D98))</f>
        <v/>
      </c>
      <c r="E92" s="5" t="str">
        <f aca="false">IF(OR(BOM!$D98="",BOM!$R98="Cancelled"),"",IF(BOM!E98="","",BOM!E98))</f>
        <v/>
      </c>
      <c r="F92" s="5" t="str">
        <f aca="false">IF(OR(BOM!$D98="",BOM!$R98="Cancelled"),"",IF(BOM!F98="","",BOM!F98))</f>
        <v/>
      </c>
      <c r="G92" s="5" t="str">
        <f aca="false">IF(OR(BOM!$D98="",BOM!$R98="Cancelled"),"",IF(BOM!J98="","",BOM!J98))</f>
        <v/>
      </c>
      <c r="H92" s="5" t="str">
        <f aca="false">IF(OR(BOM!$D98="",BOM!$R98="Cancelled"),"",IF(BOM!K98="","",BOM!K98))</f>
        <v/>
      </c>
      <c r="I92" s="5" t="str">
        <f aca="false">IF(OR(BOM!$D98="",BOM!$R98="Cancelled"),"",IF(BOM!M98="","",BOM!M98))</f>
        <v/>
      </c>
      <c r="J92" s="5" t="str">
        <f aca="false">IF(OR(BOM!$D98="",BOM!$R98="Cancelled"),"",IF(OR(BOM!R98="Received",BOM!R98="NSW Purchased"),"Received",IF(BOM!R98="Purchased – Not Received","Ordered",IF(BOM!R98="Finalized – Not Purchased","Design Released","In Design"))))</f>
        <v/>
      </c>
      <c r="K92" s="52" t="str">
        <f aca="false">IF(OR(BOM!$D98="",BOM!$R98="Cancelled"),"",IF(BOM!W98="","",BOM!W98))</f>
        <v/>
      </c>
    </row>
    <row r="93" customFormat="false" ht="15" hidden="false" customHeight="false" outlineLevel="0" collapsed="false">
      <c r="A93" s="5" t="str">
        <f aca="false">IF(OR(BOM!$D99="",BOM!$R99="Cancelled"),"",IF(BOM!A99="","",BOM!A99))</f>
        <v/>
      </c>
      <c r="B93" s="5" t="str">
        <f aca="false">IF(OR(BOM!$D99="",BOM!$R99="Cancelled"),"",IF(BOM!B99="","",BOM!B99))</f>
        <v/>
      </c>
      <c r="C93" s="5" t="str">
        <f aca="false">IF(OR(BOM!$D99="",BOM!$R99="Cancelled"),"",IF(BOM!C99="","",BOM!C99))</f>
        <v/>
      </c>
      <c r="D93" s="5" t="str">
        <f aca="false">IF(OR(BOM!$D99="",BOM!$R99="Cancelled"),"",IF(BOM!D99="","",BOM!D99))</f>
        <v/>
      </c>
      <c r="E93" s="5" t="str">
        <f aca="false">IF(OR(BOM!$D99="",BOM!$R99="Cancelled"),"",IF(BOM!E99="","",BOM!E99))</f>
        <v/>
      </c>
      <c r="F93" s="5" t="str">
        <f aca="false">IF(OR(BOM!$D99="",BOM!$R99="Cancelled"),"",IF(BOM!F99="","",BOM!F99))</f>
        <v/>
      </c>
      <c r="G93" s="5" t="str">
        <f aca="false">IF(OR(BOM!$D99="",BOM!$R99="Cancelled"),"",IF(BOM!J99="","",BOM!J99))</f>
        <v/>
      </c>
      <c r="H93" s="5" t="str">
        <f aca="false">IF(OR(BOM!$D99="",BOM!$R99="Cancelled"),"",IF(BOM!K99="","",BOM!K99))</f>
        <v/>
      </c>
      <c r="I93" s="5" t="str">
        <f aca="false">IF(OR(BOM!$D99="",BOM!$R99="Cancelled"),"",IF(BOM!M99="","",BOM!M99))</f>
        <v/>
      </c>
      <c r="J93" s="5" t="str">
        <f aca="false">IF(OR(BOM!$D99="",BOM!$R99="Cancelled"),"",IF(OR(BOM!R99="Received",BOM!R99="NSW Purchased"),"Received",IF(BOM!R99="Purchased – Not Received","Ordered",IF(BOM!R99="Finalized – Not Purchased","Design Released","In Design"))))</f>
        <v/>
      </c>
      <c r="K93" s="52" t="str">
        <f aca="false">IF(OR(BOM!$D99="",BOM!$R99="Cancelled"),"",IF(BOM!W99="","",BOM!W99))</f>
        <v/>
      </c>
    </row>
    <row r="94" customFormat="false" ht="15" hidden="false" customHeight="false" outlineLevel="0" collapsed="false">
      <c r="A94" s="5" t="str">
        <f aca="false">IF(OR(BOM!$D100="",BOM!$R100="Cancelled"),"",IF(BOM!A100="","",BOM!A100))</f>
        <v/>
      </c>
      <c r="B94" s="5" t="str">
        <f aca="false">IF(OR(BOM!$D100="",BOM!$R100="Cancelled"),"",IF(BOM!B100="","",BOM!B100))</f>
        <v/>
      </c>
      <c r="C94" s="5" t="str">
        <f aca="false">IF(OR(BOM!$D100="",BOM!$R100="Cancelled"),"",IF(BOM!C100="","",BOM!C100))</f>
        <v/>
      </c>
      <c r="D94" s="5" t="str">
        <f aca="false">IF(OR(BOM!$D100="",BOM!$R100="Cancelled"),"",IF(BOM!D100="","",BOM!D100))</f>
        <v/>
      </c>
      <c r="E94" s="5" t="str">
        <f aca="false">IF(OR(BOM!$D100="",BOM!$R100="Cancelled"),"",IF(BOM!E100="","",BOM!E100))</f>
        <v/>
      </c>
      <c r="F94" s="5" t="str">
        <f aca="false">IF(OR(BOM!$D100="",BOM!$R100="Cancelled"),"",IF(BOM!F100="","",BOM!F100))</f>
        <v/>
      </c>
      <c r="G94" s="5" t="str">
        <f aca="false">IF(OR(BOM!$D100="",BOM!$R100="Cancelled"),"",IF(BOM!J100="","",BOM!J100))</f>
        <v/>
      </c>
      <c r="H94" s="5" t="str">
        <f aca="false">IF(OR(BOM!$D100="",BOM!$R100="Cancelled"),"",IF(BOM!K100="","",BOM!K100))</f>
        <v/>
      </c>
      <c r="I94" s="5" t="str">
        <f aca="false">IF(OR(BOM!$D100="",BOM!$R100="Cancelled"),"",IF(BOM!M100="","",BOM!M100))</f>
        <v/>
      </c>
      <c r="J94" s="5" t="str">
        <f aca="false">IF(OR(BOM!$D100="",BOM!$R100="Cancelled"),"",IF(OR(BOM!R100="Received",BOM!R100="NSW Purchased"),"Received",IF(BOM!R100="Purchased – Not Received","Ordered",IF(BOM!R100="Finalized – Not Purchased","Design Released","In Design"))))</f>
        <v/>
      </c>
      <c r="K94" s="52" t="str">
        <f aca="false">IF(OR(BOM!$D100="",BOM!$R100="Cancelled"),"",IF(BOM!W100="","",BOM!W100))</f>
        <v/>
      </c>
    </row>
    <row r="95" customFormat="false" ht="15" hidden="false" customHeight="false" outlineLevel="0" collapsed="false">
      <c r="A95" s="5" t="str">
        <f aca="false">IF(OR(BOM!$D101="",BOM!$R101="Cancelled"),"",IF(BOM!A101="","",BOM!A101))</f>
        <v/>
      </c>
      <c r="B95" s="5" t="str">
        <f aca="false">IF(OR(BOM!$D101="",BOM!$R101="Cancelled"),"",IF(BOM!B101="","",BOM!B101))</f>
        <v/>
      </c>
      <c r="C95" s="5" t="str">
        <f aca="false">IF(OR(BOM!$D101="",BOM!$R101="Cancelled"),"",IF(BOM!C101="","",BOM!C101))</f>
        <v/>
      </c>
      <c r="D95" s="5" t="str">
        <f aca="false">IF(OR(BOM!$D101="",BOM!$R101="Cancelled"),"",IF(BOM!D101="","",BOM!D101))</f>
        <v/>
      </c>
      <c r="E95" s="5" t="str">
        <f aca="false">IF(OR(BOM!$D101="",BOM!$R101="Cancelled"),"",IF(BOM!E101="","",BOM!E101))</f>
        <v/>
      </c>
      <c r="F95" s="5" t="str">
        <f aca="false">IF(OR(BOM!$D101="",BOM!$R101="Cancelled"),"",IF(BOM!F101="","",BOM!F101))</f>
        <v/>
      </c>
      <c r="G95" s="5" t="str">
        <f aca="false">IF(OR(BOM!$D101="",BOM!$R101="Cancelled"),"",IF(BOM!J101="","",BOM!J101))</f>
        <v/>
      </c>
      <c r="H95" s="5" t="str">
        <f aca="false">IF(OR(BOM!$D101="",BOM!$R101="Cancelled"),"",IF(BOM!K101="","",BOM!K101))</f>
        <v/>
      </c>
      <c r="I95" s="5" t="str">
        <f aca="false">IF(OR(BOM!$D101="",BOM!$R101="Cancelled"),"",IF(BOM!M101="","",BOM!M101))</f>
        <v/>
      </c>
      <c r="J95" s="5" t="str">
        <f aca="false">IF(OR(BOM!$D101="",BOM!$R101="Cancelled"),"",IF(OR(BOM!R101="Received",BOM!R101="NSW Purchased"),"Received",IF(BOM!R101="Purchased – Not Received","Ordered",IF(BOM!R101="Finalized – Not Purchased","Design Released","In Design"))))</f>
        <v/>
      </c>
      <c r="K95" s="52" t="str">
        <f aca="false">IF(OR(BOM!$D101="",BOM!$R101="Cancelled"),"",IF(BOM!W101="","",BOM!W101))</f>
        <v/>
      </c>
    </row>
    <row r="96" customFormat="false" ht="15" hidden="false" customHeight="false" outlineLevel="0" collapsed="false">
      <c r="A96" s="5" t="str">
        <f aca="false">IF(OR(BOM!$D102="",BOM!$R102="Cancelled"),"",IF(BOM!A102="","",BOM!A102))</f>
        <v/>
      </c>
      <c r="B96" s="5" t="str">
        <f aca="false">IF(OR(BOM!$D102="",BOM!$R102="Cancelled"),"",IF(BOM!B102="","",BOM!B102))</f>
        <v/>
      </c>
      <c r="C96" s="5" t="str">
        <f aca="false">IF(OR(BOM!$D102="",BOM!$R102="Cancelled"),"",IF(BOM!C102="","",BOM!C102))</f>
        <v/>
      </c>
      <c r="D96" s="5" t="str">
        <f aca="false">IF(OR(BOM!$D102="",BOM!$R102="Cancelled"),"",IF(BOM!D102="","",BOM!D102))</f>
        <v/>
      </c>
      <c r="E96" s="5" t="str">
        <f aca="false">IF(OR(BOM!$D102="",BOM!$R102="Cancelled"),"",IF(BOM!E102="","",BOM!E102))</f>
        <v/>
      </c>
      <c r="F96" s="5" t="str">
        <f aca="false">IF(OR(BOM!$D102="",BOM!$R102="Cancelled"),"",IF(BOM!F102="","",BOM!F102))</f>
        <v/>
      </c>
      <c r="G96" s="5" t="str">
        <f aca="false">IF(OR(BOM!$D102="",BOM!$R102="Cancelled"),"",IF(BOM!J102="","",BOM!J102))</f>
        <v/>
      </c>
      <c r="H96" s="5" t="str">
        <f aca="false">IF(OR(BOM!$D102="",BOM!$R102="Cancelled"),"",IF(BOM!K102="","",BOM!K102))</f>
        <v/>
      </c>
      <c r="I96" s="5" t="str">
        <f aca="false">IF(OR(BOM!$D102="",BOM!$R102="Cancelled"),"",IF(BOM!M102="","",BOM!M102))</f>
        <v/>
      </c>
      <c r="J96" s="5" t="str">
        <f aca="false">IF(OR(BOM!$D102="",BOM!$R102="Cancelled"),"",IF(OR(BOM!R102="Received",BOM!R102="NSW Purchased"),"Received",IF(BOM!R102="Purchased – Not Received","Ordered",IF(BOM!R102="Finalized – Not Purchased","Design Released","In Design"))))</f>
        <v/>
      </c>
      <c r="K96" s="52" t="str">
        <f aca="false">IF(OR(BOM!$D102="",BOM!$R102="Cancelled"),"",IF(BOM!W102="","",BOM!W102))</f>
        <v/>
      </c>
    </row>
    <row r="97" customFormat="false" ht="15" hidden="false" customHeight="false" outlineLevel="0" collapsed="false">
      <c r="A97" s="5" t="str">
        <f aca="false">IF(OR(BOM!$D103="",BOM!$R103="Cancelled"),"",IF(BOM!A103="","",BOM!A103))</f>
        <v/>
      </c>
      <c r="B97" s="5" t="str">
        <f aca="false">IF(OR(BOM!$D103="",BOM!$R103="Cancelled"),"",IF(BOM!B103="","",BOM!B103))</f>
        <v/>
      </c>
      <c r="C97" s="5" t="str">
        <f aca="false">IF(OR(BOM!$D103="",BOM!$R103="Cancelled"),"",IF(BOM!C103="","",BOM!C103))</f>
        <v/>
      </c>
      <c r="D97" s="5" t="str">
        <f aca="false">IF(OR(BOM!$D103="",BOM!$R103="Cancelled"),"",IF(BOM!D103="","",BOM!D103))</f>
        <v/>
      </c>
      <c r="E97" s="5" t="str">
        <f aca="false">IF(OR(BOM!$D103="",BOM!$R103="Cancelled"),"",IF(BOM!E103="","",BOM!E103))</f>
        <v/>
      </c>
      <c r="F97" s="5" t="str">
        <f aca="false">IF(OR(BOM!$D103="",BOM!$R103="Cancelled"),"",IF(BOM!F103="","",BOM!F103))</f>
        <v/>
      </c>
      <c r="G97" s="5" t="str">
        <f aca="false">IF(OR(BOM!$D103="",BOM!$R103="Cancelled"),"",IF(BOM!J103="","",BOM!J103))</f>
        <v/>
      </c>
      <c r="H97" s="5" t="str">
        <f aca="false">IF(OR(BOM!$D103="",BOM!$R103="Cancelled"),"",IF(BOM!K103="","",BOM!K103))</f>
        <v/>
      </c>
      <c r="I97" s="5" t="str">
        <f aca="false">IF(OR(BOM!$D103="",BOM!$R103="Cancelled"),"",IF(BOM!M103="","",BOM!M103))</f>
        <v/>
      </c>
      <c r="J97" s="5" t="str">
        <f aca="false">IF(OR(BOM!$D103="",BOM!$R103="Cancelled"),"",IF(OR(BOM!R103="Received",BOM!R103="NSW Purchased"),"Received",IF(BOM!R103="Purchased – Not Received","Ordered",IF(BOM!R103="Finalized – Not Purchased","Design Released","In Design"))))</f>
        <v/>
      </c>
      <c r="K97" s="52" t="str">
        <f aca="false">IF(OR(BOM!$D103="",BOM!$R103="Cancelled"),"",IF(BOM!W103="","",BOM!W103))</f>
        <v/>
      </c>
    </row>
    <row r="98" customFormat="false" ht="15" hidden="false" customHeight="false" outlineLevel="0" collapsed="false">
      <c r="A98" s="5" t="str">
        <f aca="false">IF(OR(BOM!$D104="",BOM!$R104="Cancelled"),"",IF(BOM!A104="","",BOM!A104))</f>
        <v/>
      </c>
      <c r="B98" s="5" t="str">
        <f aca="false">IF(OR(BOM!$D104="",BOM!$R104="Cancelled"),"",IF(BOM!B104="","",BOM!B104))</f>
        <v/>
      </c>
      <c r="C98" s="5" t="str">
        <f aca="false">IF(OR(BOM!$D104="",BOM!$R104="Cancelled"),"",IF(BOM!C104="","",BOM!C104))</f>
        <v/>
      </c>
      <c r="D98" s="5" t="str">
        <f aca="false">IF(OR(BOM!$D104="",BOM!$R104="Cancelled"),"",IF(BOM!D104="","",BOM!D104))</f>
        <v/>
      </c>
      <c r="E98" s="5" t="str">
        <f aca="false">IF(OR(BOM!$D104="",BOM!$R104="Cancelled"),"",IF(BOM!E104="","",BOM!E104))</f>
        <v/>
      </c>
      <c r="F98" s="5" t="str">
        <f aca="false">IF(OR(BOM!$D104="",BOM!$R104="Cancelled"),"",IF(BOM!F104="","",BOM!F104))</f>
        <v/>
      </c>
      <c r="G98" s="5" t="str">
        <f aca="false">IF(OR(BOM!$D104="",BOM!$R104="Cancelled"),"",IF(BOM!J104="","",BOM!J104))</f>
        <v/>
      </c>
      <c r="H98" s="5" t="str">
        <f aca="false">IF(OR(BOM!$D104="",BOM!$R104="Cancelled"),"",IF(BOM!K104="","",BOM!K104))</f>
        <v/>
      </c>
      <c r="I98" s="5" t="str">
        <f aca="false">IF(OR(BOM!$D104="",BOM!$R104="Cancelled"),"",IF(BOM!M104="","",BOM!M104))</f>
        <v/>
      </c>
      <c r="J98" s="5" t="str">
        <f aca="false">IF(OR(BOM!$D104="",BOM!$R104="Cancelled"),"",IF(OR(BOM!R104="Received",BOM!R104="NSW Purchased"),"Received",IF(BOM!R104="Purchased – Not Received","Ordered",IF(BOM!R104="Finalized – Not Purchased","Design Released","In Design"))))</f>
        <v/>
      </c>
      <c r="K98" s="52" t="str">
        <f aca="false">IF(OR(BOM!$D104="",BOM!$R104="Cancelled"),"",IF(BOM!W104="","",BOM!W104))</f>
        <v/>
      </c>
    </row>
    <row r="99" customFormat="false" ht="15" hidden="false" customHeight="false" outlineLevel="0" collapsed="false">
      <c r="A99" s="5" t="str">
        <f aca="false">IF(OR(BOM!$D105="",BOM!$R105="Cancelled"),"",IF(BOM!A105="","",BOM!A105))</f>
        <v/>
      </c>
      <c r="B99" s="5" t="str">
        <f aca="false">IF(OR(BOM!$D105="",BOM!$R105="Cancelled"),"",IF(BOM!B105="","",BOM!B105))</f>
        <v/>
      </c>
      <c r="C99" s="5" t="str">
        <f aca="false">IF(OR(BOM!$D105="",BOM!$R105="Cancelled"),"",IF(BOM!C105="","",BOM!C105))</f>
        <v/>
      </c>
      <c r="D99" s="5" t="str">
        <f aca="false">IF(OR(BOM!$D105="",BOM!$R105="Cancelled"),"",IF(BOM!D105="","",BOM!D105))</f>
        <v/>
      </c>
      <c r="E99" s="5" t="str">
        <f aca="false">IF(OR(BOM!$D105="",BOM!$R105="Cancelled"),"",IF(BOM!E105="","",BOM!E105))</f>
        <v/>
      </c>
      <c r="F99" s="5" t="str">
        <f aca="false">IF(OR(BOM!$D105="",BOM!$R105="Cancelled"),"",IF(BOM!F105="","",BOM!F105))</f>
        <v/>
      </c>
      <c r="G99" s="5" t="str">
        <f aca="false">IF(OR(BOM!$D105="",BOM!$R105="Cancelled"),"",IF(BOM!J105="","",BOM!J105))</f>
        <v/>
      </c>
      <c r="H99" s="5" t="str">
        <f aca="false">IF(OR(BOM!$D105="",BOM!$R105="Cancelled"),"",IF(BOM!K105="","",BOM!K105))</f>
        <v/>
      </c>
      <c r="I99" s="5" t="str">
        <f aca="false">IF(OR(BOM!$D105="",BOM!$R105="Cancelled"),"",IF(BOM!M105="","",BOM!M105))</f>
        <v/>
      </c>
      <c r="J99" s="5" t="str">
        <f aca="false">IF(OR(BOM!$D105="",BOM!$R105="Cancelled"),"",IF(OR(BOM!R105="Received",BOM!R105="NSW Purchased"),"Received",IF(BOM!R105="Purchased – Not Received","Ordered",IF(BOM!R105="Finalized – Not Purchased","Design Released","In Design"))))</f>
        <v/>
      </c>
      <c r="K99" s="52" t="str">
        <f aca="false">IF(OR(BOM!$D105="",BOM!$R105="Cancelled"),"",IF(BOM!W105="","",BOM!W105))</f>
        <v/>
      </c>
    </row>
    <row r="100" customFormat="false" ht="15" hidden="false" customHeight="false" outlineLevel="0" collapsed="false">
      <c r="A100" s="5" t="str">
        <f aca="false">IF(OR(BOM!$D106="",BOM!$R106="Cancelled"),"",IF(BOM!A106="","",BOM!A106))</f>
        <v/>
      </c>
      <c r="B100" s="5" t="str">
        <f aca="false">IF(OR(BOM!$D106="",BOM!$R106="Cancelled"),"",IF(BOM!B106="","",BOM!B106))</f>
        <v/>
      </c>
      <c r="C100" s="5" t="str">
        <f aca="false">IF(OR(BOM!$D106="",BOM!$R106="Cancelled"),"",IF(BOM!C106="","",BOM!C106))</f>
        <v/>
      </c>
      <c r="D100" s="5" t="str">
        <f aca="false">IF(OR(BOM!$D106="",BOM!$R106="Cancelled"),"",IF(BOM!D106="","",BOM!D106))</f>
        <v/>
      </c>
      <c r="E100" s="5" t="str">
        <f aca="false">IF(OR(BOM!$D106="",BOM!$R106="Cancelled"),"",IF(BOM!E106="","",BOM!E106))</f>
        <v/>
      </c>
      <c r="F100" s="5" t="str">
        <f aca="false">IF(OR(BOM!$D106="",BOM!$R106="Cancelled"),"",IF(BOM!F106="","",BOM!F106))</f>
        <v/>
      </c>
      <c r="G100" s="5" t="str">
        <f aca="false">IF(OR(BOM!$D106="",BOM!$R106="Cancelled"),"",IF(BOM!J106="","",BOM!J106))</f>
        <v/>
      </c>
      <c r="H100" s="5" t="str">
        <f aca="false">IF(OR(BOM!$D106="",BOM!$R106="Cancelled"),"",IF(BOM!K106="","",BOM!K106))</f>
        <v/>
      </c>
      <c r="I100" s="5" t="str">
        <f aca="false">IF(OR(BOM!$D106="",BOM!$R106="Cancelled"),"",IF(BOM!M106="","",BOM!M106))</f>
        <v/>
      </c>
      <c r="J100" s="5" t="str">
        <f aca="false">IF(OR(BOM!$D106="",BOM!$R106="Cancelled"),"",IF(OR(BOM!R106="Received",BOM!R106="NSW Purchased"),"Received",IF(BOM!R106="Purchased – Not Received","Ordered",IF(BOM!R106="Finalized – Not Purchased","Design Released","In Design"))))</f>
        <v/>
      </c>
      <c r="K100" s="52" t="str">
        <f aca="false">IF(OR(BOM!$D106="",BOM!$R106="Cancelled"),"",IF(BOM!W106="","",BOM!W106))</f>
        <v/>
      </c>
    </row>
    <row r="101" customFormat="false" ht="15" hidden="false" customHeight="false" outlineLevel="0" collapsed="false">
      <c r="A101" s="5" t="str">
        <f aca="false">IF(OR(BOM!$D107="",BOM!$R107="Cancelled"),"",IF(BOM!A107="","",BOM!A107))</f>
        <v/>
      </c>
      <c r="B101" s="5" t="str">
        <f aca="false">IF(OR(BOM!$D107="",BOM!$R107="Cancelled"),"",IF(BOM!B107="","",BOM!B107))</f>
        <v/>
      </c>
      <c r="C101" s="5" t="str">
        <f aca="false">IF(OR(BOM!$D107="",BOM!$R107="Cancelled"),"",IF(BOM!C107="","",BOM!C107))</f>
        <v/>
      </c>
      <c r="D101" s="5" t="str">
        <f aca="false">IF(OR(BOM!$D107="",BOM!$R107="Cancelled"),"",IF(BOM!D107="","",BOM!D107))</f>
        <v/>
      </c>
      <c r="E101" s="5" t="str">
        <f aca="false">IF(OR(BOM!$D107="",BOM!$R107="Cancelled"),"",IF(BOM!E107="","",BOM!E107))</f>
        <v/>
      </c>
      <c r="F101" s="5" t="str">
        <f aca="false">IF(OR(BOM!$D107="",BOM!$R107="Cancelled"),"",IF(BOM!F107="","",BOM!F107))</f>
        <v/>
      </c>
      <c r="G101" s="5" t="str">
        <f aca="false">IF(OR(BOM!$D107="",BOM!$R107="Cancelled"),"",IF(BOM!J107="","",BOM!J107))</f>
        <v/>
      </c>
      <c r="H101" s="5" t="str">
        <f aca="false">IF(OR(BOM!$D107="",BOM!$R107="Cancelled"),"",IF(BOM!K107="","",BOM!K107))</f>
        <v/>
      </c>
      <c r="I101" s="5" t="str">
        <f aca="false">IF(OR(BOM!$D107="",BOM!$R107="Cancelled"),"",IF(BOM!M107="","",BOM!M107))</f>
        <v/>
      </c>
      <c r="J101" s="5" t="str">
        <f aca="false">IF(OR(BOM!$D107="",BOM!$R107="Cancelled"),"",IF(OR(BOM!R107="Received",BOM!R107="NSW Purchased"),"Received",IF(BOM!R107="Purchased – Not Received","Ordered",IF(BOM!R107="Finalized – Not Purchased","Design Released","In Design"))))</f>
        <v/>
      </c>
      <c r="K101" s="52" t="str">
        <f aca="false">IF(OR(BOM!$D107="",BOM!$R107="Cancelled"),"",IF(BOM!W107="","",BOM!W107))</f>
        <v/>
      </c>
    </row>
    <row r="102" customFormat="false" ht="15" hidden="false" customHeight="false" outlineLevel="0" collapsed="false">
      <c r="A102" s="5" t="str">
        <f aca="false">IF(OR(BOM!$D108="",BOM!$R108="Cancelled"),"",IF(BOM!A108="","",BOM!A108))</f>
        <v/>
      </c>
      <c r="B102" s="5" t="str">
        <f aca="false">IF(OR(BOM!$D108="",BOM!$R108="Cancelled"),"",IF(BOM!B108="","",BOM!B108))</f>
        <v/>
      </c>
      <c r="C102" s="5" t="str">
        <f aca="false">IF(OR(BOM!$D108="",BOM!$R108="Cancelled"),"",IF(BOM!C108="","",BOM!C108))</f>
        <v/>
      </c>
      <c r="D102" s="5" t="str">
        <f aca="false">IF(OR(BOM!$D108="",BOM!$R108="Cancelled"),"",IF(BOM!D108="","",BOM!D108))</f>
        <v/>
      </c>
      <c r="E102" s="5" t="str">
        <f aca="false">IF(OR(BOM!$D108="",BOM!$R108="Cancelled"),"",IF(BOM!E108="","",BOM!E108))</f>
        <v/>
      </c>
      <c r="F102" s="5" t="str">
        <f aca="false">IF(OR(BOM!$D108="",BOM!$R108="Cancelled"),"",IF(BOM!F108="","",BOM!F108))</f>
        <v/>
      </c>
      <c r="G102" s="5" t="str">
        <f aca="false">IF(OR(BOM!$D108="",BOM!$R108="Cancelled"),"",IF(BOM!J108="","",BOM!J108))</f>
        <v/>
      </c>
      <c r="H102" s="5" t="str">
        <f aca="false">IF(OR(BOM!$D108="",BOM!$R108="Cancelled"),"",IF(BOM!K108="","",BOM!K108))</f>
        <v/>
      </c>
      <c r="I102" s="5" t="str">
        <f aca="false">IF(OR(BOM!$D108="",BOM!$R108="Cancelled"),"",IF(BOM!M108="","",BOM!M108))</f>
        <v/>
      </c>
      <c r="J102" s="5" t="str">
        <f aca="false">IF(OR(BOM!$D108="",BOM!$R108="Cancelled"),"",IF(OR(BOM!R108="Received",BOM!R108="NSW Purchased"),"Received",IF(BOM!R108="Purchased – Not Received","Ordered",IF(BOM!R108="Finalized – Not Purchased","Design Released","In Design"))))</f>
        <v/>
      </c>
      <c r="K102" s="52" t="str">
        <f aca="false">IF(OR(BOM!$D108="",BOM!$R108="Cancelled"),"",IF(BOM!W108="","",BOM!W108))</f>
        <v/>
      </c>
    </row>
    <row r="103" customFormat="false" ht="15" hidden="false" customHeight="false" outlineLevel="0" collapsed="false">
      <c r="A103" s="5" t="str">
        <f aca="false">IF(OR(BOM!$D109="",BOM!$R109="Cancelled"),"",IF(BOM!A109="","",BOM!A109))</f>
        <v/>
      </c>
      <c r="B103" s="5" t="str">
        <f aca="false">IF(OR(BOM!$D109="",BOM!$R109="Cancelled"),"",IF(BOM!B109="","",BOM!B109))</f>
        <v/>
      </c>
      <c r="C103" s="5" t="str">
        <f aca="false">IF(OR(BOM!$D109="",BOM!$R109="Cancelled"),"",IF(BOM!C109="","",BOM!C109))</f>
        <v/>
      </c>
      <c r="D103" s="5" t="str">
        <f aca="false">IF(OR(BOM!$D109="",BOM!$R109="Cancelled"),"",IF(BOM!D109="","",BOM!D109))</f>
        <v/>
      </c>
      <c r="E103" s="5" t="str">
        <f aca="false">IF(OR(BOM!$D109="",BOM!$R109="Cancelled"),"",IF(BOM!E109="","",BOM!E109))</f>
        <v/>
      </c>
      <c r="F103" s="5" t="str">
        <f aca="false">IF(OR(BOM!$D109="",BOM!$R109="Cancelled"),"",IF(BOM!F109="","",BOM!F109))</f>
        <v/>
      </c>
      <c r="G103" s="5" t="str">
        <f aca="false">IF(OR(BOM!$D109="",BOM!$R109="Cancelled"),"",IF(BOM!J109="","",BOM!J109))</f>
        <v/>
      </c>
      <c r="H103" s="5" t="str">
        <f aca="false">IF(OR(BOM!$D109="",BOM!$R109="Cancelled"),"",IF(BOM!K109="","",BOM!K109))</f>
        <v/>
      </c>
      <c r="I103" s="5" t="str">
        <f aca="false">IF(OR(BOM!$D109="",BOM!$R109="Cancelled"),"",IF(BOM!M109="","",BOM!M109))</f>
        <v/>
      </c>
      <c r="J103" s="5" t="str">
        <f aca="false">IF(OR(BOM!$D109="",BOM!$R109="Cancelled"),"",IF(OR(BOM!R109="Received",BOM!R109="NSW Purchased"),"Received",IF(BOM!R109="Purchased – Not Received","Ordered",IF(BOM!R109="Finalized – Not Purchased","Design Released","In Design"))))</f>
        <v/>
      </c>
      <c r="K103" s="52" t="str">
        <f aca="false">IF(OR(BOM!$D109="",BOM!$R109="Cancelled"),"",IF(BOM!W109="","",BOM!W109))</f>
        <v/>
      </c>
    </row>
    <row r="104" customFormat="false" ht="15" hidden="false" customHeight="false" outlineLevel="0" collapsed="false">
      <c r="A104" s="5" t="str">
        <f aca="false">IF(OR(BOM!$D110="",BOM!$R110="Cancelled"),"",IF(BOM!A110="","",BOM!A110))</f>
        <v/>
      </c>
      <c r="B104" s="5" t="str">
        <f aca="false">IF(OR(BOM!$D110="",BOM!$R110="Cancelled"),"",IF(BOM!B110="","",BOM!B110))</f>
        <v/>
      </c>
      <c r="C104" s="5" t="str">
        <f aca="false">IF(OR(BOM!$D110="",BOM!$R110="Cancelled"),"",IF(BOM!C110="","",BOM!C110))</f>
        <v/>
      </c>
      <c r="D104" s="5" t="str">
        <f aca="false">IF(OR(BOM!$D110="",BOM!$R110="Cancelled"),"",IF(BOM!D110="","",BOM!D110))</f>
        <v/>
      </c>
      <c r="E104" s="5" t="str">
        <f aca="false">IF(OR(BOM!$D110="",BOM!$R110="Cancelled"),"",IF(BOM!E110="","",BOM!E110))</f>
        <v/>
      </c>
      <c r="F104" s="5" t="str">
        <f aca="false">IF(OR(BOM!$D110="",BOM!$R110="Cancelled"),"",IF(BOM!F110="","",BOM!F110))</f>
        <v/>
      </c>
      <c r="G104" s="5" t="str">
        <f aca="false">IF(OR(BOM!$D110="",BOM!$R110="Cancelled"),"",IF(BOM!J110="","",BOM!J110))</f>
        <v/>
      </c>
      <c r="H104" s="5" t="str">
        <f aca="false">IF(OR(BOM!$D110="",BOM!$R110="Cancelled"),"",IF(BOM!K110="","",BOM!K110))</f>
        <v/>
      </c>
      <c r="I104" s="5" t="str">
        <f aca="false">IF(OR(BOM!$D110="",BOM!$R110="Cancelled"),"",IF(BOM!M110="","",BOM!M110))</f>
        <v/>
      </c>
      <c r="J104" s="5" t="str">
        <f aca="false">IF(OR(BOM!$D110="",BOM!$R110="Cancelled"),"",IF(OR(BOM!R110="Received",BOM!R110="NSW Purchased"),"Received",IF(BOM!R110="Purchased – Not Received","Ordered",IF(BOM!R110="Finalized – Not Purchased","Design Released","In Design"))))</f>
        <v/>
      </c>
      <c r="K104" s="52" t="str">
        <f aca="false">IF(OR(BOM!$D110="",BOM!$R110="Cancelled"),"",IF(BOM!W110="","",BOM!W110))</f>
        <v/>
      </c>
    </row>
    <row r="105" customFormat="false" ht="15" hidden="false" customHeight="false" outlineLevel="0" collapsed="false">
      <c r="A105" s="5" t="str">
        <f aca="false">IF(OR(BOM!$D111="",BOM!$R111="Cancelled"),"",IF(BOM!A111="","",BOM!A111))</f>
        <v/>
      </c>
      <c r="B105" s="5" t="str">
        <f aca="false">IF(OR(BOM!$D111="",BOM!$R111="Cancelled"),"",IF(BOM!B111="","",BOM!B111))</f>
        <v/>
      </c>
      <c r="C105" s="5" t="str">
        <f aca="false">IF(OR(BOM!$D111="",BOM!$R111="Cancelled"),"",IF(BOM!C111="","",BOM!C111))</f>
        <v/>
      </c>
      <c r="D105" s="5" t="str">
        <f aca="false">IF(OR(BOM!$D111="",BOM!$R111="Cancelled"),"",IF(BOM!D111="","",BOM!D111))</f>
        <v/>
      </c>
      <c r="E105" s="5" t="str">
        <f aca="false">IF(OR(BOM!$D111="",BOM!$R111="Cancelled"),"",IF(BOM!E111="","",BOM!E111))</f>
        <v/>
      </c>
      <c r="F105" s="5" t="str">
        <f aca="false">IF(OR(BOM!$D111="",BOM!$R111="Cancelled"),"",IF(BOM!F111="","",BOM!F111))</f>
        <v/>
      </c>
      <c r="G105" s="5" t="str">
        <f aca="false">IF(OR(BOM!$D111="",BOM!$R111="Cancelled"),"",IF(BOM!J111="","",BOM!J111))</f>
        <v/>
      </c>
      <c r="H105" s="5" t="str">
        <f aca="false">IF(OR(BOM!$D111="",BOM!$R111="Cancelled"),"",IF(BOM!K111="","",BOM!K111))</f>
        <v/>
      </c>
      <c r="I105" s="5" t="str">
        <f aca="false">IF(OR(BOM!$D111="",BOM!$R111="Cancelled"),"",IF(BOM!M111="","",BOM!M111))</f>
        <v/>
      </c>
      <c r="J105" s="5" t="str">
        <f aca="false">IF(OR(BOM!$D111="",BOM!$R111="Cancelled"),"",IF(OR(BOM!R111="Received",BOM!R111="NSW Purchased"),"Received",IF(BOM!R111="Purchased – Not Received","Ordered",IF(BOM!R111="Finalized – Not Purchased","Design Released","In Design"))))</f>
        <v/>
      </c>
      <c r="K105" s="52" t="str">
        <f aca="false">IF(OR(BOM!$D111="",BOM!$R111="Cancelled"),"",IF(BOM!W111="","",BOM!W111))</f>
        <v/>
      </c>
    </row>
    <row r="106" customFormat="false" ht="15" hidden="false" customHeight="false" outlineLevel="0" collapsed="false">
      <c r="A106" s="5" t="str">
        <f aca="false">IF(OR(BOM!$D112="",BOM!$R112="Cancelled"),"",IF(BOM!A112="","",BOM!A112))</f>
        <v/>
      </c>
      <c r="B106" s="5" t="str">
        <f aca="false">IF(OR(BOM!$D112="",BOM!$R112="Cancelled"),"",IF(BOM!B112="","",BOM!B112))</f>
        <v/>
      </c>
      <c r="C106" s="5" t="str">
        <f aca="false">IF(OR(BOM!$D112="",BOM!$R112="Cancelled"),"",IF(BOM!C112="","",BOM!C112))</f>
        <v/>
      </c>
      <c r="D106" s="5" t="str">
        <f aca="false">IF(OR(BOM!$D112="",BOM!$R112="Cancelled"),"",IF(BOM!D112="","",BOM!D112))</f>
        <v/>
      </c>
      <c r="E106" s="5" t="str">
        <f aca="false">IF(OR(BOM!$D112="",BOM!$R112="Cancelled"),"",IF(BOM!E112="","",BOM!E112))</f>
        <v/>
      </c>
      <c r="F106" s="5" t="str">
        <f aca="false">IF(OR(BOM!$D112="",BOM!$R112="Cancelled"),"",IF(BOM!F112="","",BOM!F112))</f>
        <v/>
      </c>
      <c r="G106" s="5" t="str">
        <f aca="false">IF(OR(BOM!$D112="",BOM!$R112="Cancelled"),"",IF(BOM!J112="","",BOM!J112))</f>
        <v/>
      </c>
      <c r="H106" s="5" t="str">
        <f aca="false">IF(OR(BOM!$D112="",BOM!$R112="Cancelled"),"",IF(BOM!K112="","",BOM!K112))</f>
        <v/>
      </c>
      <c r="I106" s="5" t="str">
        <f aca="false">IF(OR(BOM!$D112="",BOM!$R112="Cancelled"),"",IF(BOM!M112="","",BOM!M112))</f>
        <v/>
      </c>
      <c r="J106" s="5" t="str">
        <f aca="false">IF(OR(BOM!$D112="",BOM!$R112="Cancelled"),"",IF(OR(BOM!R112="Received",BOM!R112="NSW Purchased"),"Received",IF(BOM!R112="Purchased – Not Received","Ordered",IF(BOM!R112="Finalized – Not Purchased","Design Released","In Design"))))</f>
        <v/>
      </c>
      <c r="K106" s="52" t="str">
        <f aca="false">IF(OR(BOM!$D112="",BOM!$R112="Cancelled"),"",IF(BOM!W112="","",BOM!W112))</f>
        <v/>
      </c>
    </row>
    <row r="107" customFormat="false" ht="15" hidden="false" customHeight="false" outlineLevel="0" collapsed="false">
      <c r="A107" s="5" t="str">
        <f aca="false">IF(OR(BOM!$D113="",BOM!$R113="Cancelled"),"",IF(BOM!A113="","",BOM!A113))</f>
        <v/>
      </c>
      <c r="B107" s="5" t="str">
        <f aca="false">IF(OR(BOM!$D113="",BOM!$R113="Cancelled"),"",IF(BOM!B113="","",BOM!B113))</f>
        <v/>
      </c>
      <c r="C107" s="5" t="str">
        <f aca="false">IF(OR(BOM!$D113="",BOM!$R113="Cancelled"),"",IF(BOM!C113="","",BOM!C113))</f>
        <v/>
      </c>
      <c r="D107" s="5" t="str">
        <f aca="false">IF(OR(BOM!$D113="",BOM!$R113="Cancelled"),"",IF(BOM!D113="","",BOM!D113))</f>
        <v/>
      </c>
      <c r="E107" s="5" t="str">
        <f aca="false">IF(OR(BOM!$D113="",BOM!$R113="Cancelled"),"",IF(BOM!E113="","",BOM!E113))</f>
        <v/>
      </c>
      <c r="F107" s="5" t="str">
        <f aca="false">IF(OR(BOM!$D113="",BOM!$R113="Cancelled"),"",IF(BOM!F113="","",BOM!F113))</f>
        <v/>
      </c>
      <c r="G107" s="5" t="str">
        <f aca="false">IF(OR(BOM!$D113="",BOM!$R113="Cancelled"),"",IF(BOM!J113="","",BOM!J113))</f>
        <v/>
      </c>
      <c r="H107" s="5" t="str">
        <f aca="false">IF(OR(BOM!$D113="",BOM!$R113="Cancelled"),"",IF(BOM!K113="","",BOM!K113))</f>
        <v/>
      </c>
      <c r="I107" s="5" t="str">
        <f aca="false">IF(OR(BOM!$D113="",BOM!$R113="Cancelled"),"",IF(BOM!M113="","",BOM!M113))</f>
        <v/>
      </c>
      <c r="J107" s="5" t="str">
        <f aca="false">IF(OR(BOM!$D113="",BOM!$R113="Cancelled"),"",IF(OR(BOM!R113="Received",BOM!R113="NSW Purchased"),"Received",IF(BOM!R113="Purchased – Not Received","Ordered",IF(BOM!R113="Finalized – Not Purchased","Design Released","In Design"))))</f>
        <v/>
      </c>
      <c r="K107" s="52" t="str">
        <f aca="false">IF(OR(BOM!$D113="",BOM!$R113="Cancelled"),"",IF(BOM!W113="","",BOM!W113))</f>
        <v/>
      </c>
    </row>
    <row r="108" customFormat="false" ht="15" hidden="false" customHeight="false" outlineLevel="0" collapsed="false">
      <c r="A108" s="5" t="str">
        <f aca="false">IF(OR(BOM!$D114="",BOM!$R114="Cancelled"),"",IF(BOM!A114="","",BOM!A114))</f>
        <v/>
      </c>
      <c r="B108" s="5" t="str">
        <f aca="false">IF(OR(BOM!$D114="",BOM!$R114="Cancelled"),"",IF(BOM!B114="","",BOM!B114))</f>
        <v/>
      </c>
      <c r="C108" s="5" t="str">
        <f aca="false">IF(OR(BOM!$D114="",BOM!$R114="Cancelled"),"",IF(BOM!C114="","",BOM!C114))</f>
        <v/>
      </c>
      <c r="D108" s="5" t="str">
        <f aca="false">IF(OR(BOM!$D114="",BOM!$R114="Cancelled"),"",IF(BOM!D114="","",BOM!D114))</f>
        <v/>
      </c>
      <c r="E108" s="5" t="str">
        <f aca="false">IF(OR(BOM!$D114="",BOM!$R114="Cancelled"),"",IF(BOM!E114="","",BOM!E114))</f>
        <v/>
      </c>
      <c r="F108" s="5" t="str">
        <f aca="false">IF(OR(BOM!$D114="",BOM!$R114="Cancelled"),"",IF(BOM!F114="","",BOM!F114))</f>
        <v/>
      </c>
      <c r="G108" s="5" t="str">
        <f aca="false">IF(OR(BOM!$D114="",BOM!$R114="Cancelled"),"",IF(BOM!J114="","",BOM!J114))</f>
        <v/>
      </c>
      <c r="H108" s="5" t="str">
        <f aca="false">IF(OR(BOM!$D114="",BOM!$R114="Cancelled"),"",IF(BOM!K114="","",BOM!K114))</f>
        <v/>
      </c>
      <c r="I108" s="5" t="str">
        <f aca="false">IF(OR(BOM!$D114="",BOM!$R114="Cancelled"),"",IF(BOM!M114="","",BOM!M114))</f>
        <v/>
      </c>
      <c r="J108" s="5" t="str">
        <f aca="false">IF(OR(BOM!$D114="",BOM!$R114="Cancelled"),"",IF(OR(BOM!R114="Received",BOM!R114="NSW Purchased"),"Received",IF(BOM!R114="Purchased – Not Received","Ordered",IF(BOM!R114="Finalized – Not Purchased","Design Released","In Design"))))</f>
        <v/>
      </c>
      <c r="K108" s="52" t="str">
        <f aca="false">IF(OR(BOM!$D114="",BOM!$R114="Cancelled"),"",IF(BOM!W114="","",BOM!W114))</f>
        <v/>
      </c>
    </row>
    <row r="109" customFormat="false" ht="15" hidden="false" customHeight="false" outlineLevel="0" collapsed="false">
      <c r="A109" s="5" t="str">
        <f aca="false">IF(OR(BOM!$D115="",BOM!$R115="Cancelled"),"",IF(BOM!A115="","",BOM!A115))</f>
        <v/>
      </c>
      <c r="B109" s="5" t="str">
        <f aca="false">IF(OR(BOM!$D115="",BOM!$R115="Cancelled"),"",IF(BOM!B115="","",BOM!B115))</f>
        <v/>
      </c>
      <c r="C109" s="5" t="str">
        <f aca="false">IF(OR(BOM!$D115="",BOM!$R115="Cancelled"),"",IF(BOM!C115="","",BOM!C115))</f>
        <v/>
      </c>
      <c r="D109" s="5" t="str">
        <f aca="false">IF(OR(BOM!$D115="",BOM!$R115="Cancelled"),"",IF(BOM!D115="","",BOM!D115))</f>
        <v/>
      </c>
      <c r="E109" s="5" t="str">
        <f aca="false">IF(OR(BOM!$D115="",BOM!$R115="Cancelled"),"",IF(BOM!E115="","",BOM!E115))</f>
        <v/>
      </c>
      <c r="F109" s="5" t="str">
        <f aca="false">IF(OR(BOM!$D115="",BOM!$R115="Cancelled"),"",IF(BOM!F115="","",BOM!F115))</f>
        <v/>
      </c>
      <c r="G109" s="5" t="str">
        <f aca="false">IF(OR(BOM!$D115="",BOM!$R115="Cancelled"),"",IF(BOM!J115="","",BOM!J115))</f>
        <v/>
      </c>
      <c r="H109" s="5" t="str">
        <f aca="false">IF(OR(BOM!$D115="",BOM!$R115="Cancelled"),"",IF(BOM!K115="","",BOM!K115))</f>
        <v/>
      </c>
      <c r="I109" s="5" t="str">
        <f aca="false">IF(OR(BOM!$D115="",BOM!$R115="Cancelled"),"",IF(BOM!M115="","",BOM!M115))</f>
        <v/>
      </c>
      <c r="J109" s="5" t="str">
        <f aca="false">IF(OR(BOM!$D115="",BOM!$R115="Cancelled"),"",IF(OR(BOM!R115="Received",BOM!R115="NSW Purchased"),"Received",IF(BOM!R115="Purchased – Not Received","Ordered",IF(BOM!R115="Finalized – Not Purchased","Design Released","In Design"))))</f>
        <v/>
      </c>
      <c r="K109" s="52" t="str">
        <f aca="false">IF(OR(BOM!$D115="",BOM!$R115="Cancelled"),"",IF(BOM!W115="","",BOM!W115))</f>
        <v/>
      </c>
    </row>
    <row r="110" customFormat="false" ht="15" hidden="false" customHeight="false" outlineLevel="0" collapsed="false">
      <c r="A110" s="5" t="str">
        <f aca="false">IF(OR(BOM!$D116="",BOM!$R116="Cancelled"),"",IF(BOM!A116="","",BOM!A116))</f>
        <v/>
      </c>
      <c r="B110" s="5" t="str">
        <f aca="false">IF(OR(BOM!$D116="",BOM!$R116="Cancelled"),"",IF(BOM!B116="","",BOM!B116))</f>
        <v/>
      </c>
      <c r="C110" s="5" t="str">
        <f aca="false">IF(OR(BOM!$D116="",BOM!$R116="Cancelled"),"",IF(BOM!C116="","",BOM!C116))</f>
        <v/>
      </c>
      <c r="D110" s="5" t="str">
        <f aca="false">IF(OR(BOM!$D116="",BOM!$R116="Cancelled"),"",IF(BOM!D116="","",BOM!D116))</f>
        <v/>
      </c>
      <c r="E110" s="5" t="str">
        <f aca="false">IF(OR(BOM!$D116="",BOM!$R116="Cancelled"),"",IF(BOM!E116="","",BOM!E116))</f>
        <v/>
      </c>
      <c r="F110" s="5" t="str">
        <f aca="false">IF(OR(BOM!$D116="",BOM!$R116="Cancelled"),"",IF(BOM!F116="","",BOM!F116))</f>
        <v/>
      </c>
      <c r="G110" s="5" t="str">
        <f aca="false">IF(OR(BOM!$D116="",BOM!$R116="Cancelled"),"",IF(BOM!J116="","",BOM!J116))</f>
        <v/>
      </c>
      <c r="H110" s="5" t="str">
        <f aca="false">IF(OR(BOM!$D116="",BOM!$R116="Cancelled"),"",IF(BOM!K116="","",BOM!K116))</f>
        <v/>
      </c>
      <c r="I110" s="5" t="str">
        <f aca="false">IF(OR(BOM!$D116="",BOM!$R116="Cancelled"),"",IF(BOM!M116="","",BOM!M116))</f>
        <v/>
      </c>
      <c r="J110" s="5" t="str">
        <f aca="false">IF(OR(BOM!$D116="",BOM!$R116="Cancelled"),"",IF(OR(BOM!R116="Received",BOM!R116="NSW Purchased"),"Received",IF(BOM!R116="Purchased – Not Received","Ordered",IF(BOM!R116="Finalized – Not Purchased","Design Released","In Design"))))</f>
        <v/>
      </c>
      <c r="K110" s="52" t="str">
        <f aca="false">IF(OR(BOM!$D116="",BOM!$R116="Cancelled"),"",IF(BOM!W116="","",BOM!W116))</f>
        <v/>
      </c>
    </row>
    <row r="111" customFormat="false" ht="15" hidden="false" customHeight="false" outlineLevel="0" collapsed="false">
      <c r="A111" s="5" t="str">
        <f aca="false">IF(OR(BOM!$D117="",BOM!$R117="Cancelled"),"",IF(BOM!A117="","",BOM!A117))</f>
        <v/>
      </c>
      <c r="B111" s="5" t="str">
        <f aca="false">IF(OR(BOM!$D117="",BOM!$R117="Cancelled"),"",IF(BOM!B117="","",BOM!B117))</f>
        <v/>
      </c>
      <c r="C111" s="5" t="str">
        <f aca="false">IF(OR(BOM!$D117="",BOM!$R117="Cancelled"),"",IF(BOM!C117="","",BOM!C117))</f>
        <v/>
      </c>
      <c r="D111" s="5" t="str">
        <f aca="false">IF(OR(BOM!$D117="",BOM!$R117="Cancelled"),"",IF(BOM!D117="","",BOM!D117))</f>
        <v/>
      </c>
      <c r="E111" s="5" t="str">
        <f aca="false">IF(OR(BOM!$D117="",BOM!$R117="Cancelled"),"",IF(BOM!E117="","",BOM!E117))</f>
        <v/>
      </c>
      <c r="F111" s="5" t="str">
        <f aca="false">IF(OR(BOM!$D117="",BOM!$R117="Cancelled"),"",IF(BOM!F117="","",BOM!F117))</f>
        <v/>
      </c>
      <c r="G111" s="5" t="str">
        <f aca="false">IF(OR(BOM!$D117="",BOM!$R117="Cancelled"),"",IF(BOM!J117="","",BOM!J117))</f>
        <v/>
      </c>
      <c r="H111" s="5" t="str">
        <f aca="false">IF(OR(BOM!$D117="",BOM!$R117="Cancelled"),"",IF(BOM!K117="","",BOM!K117))</f>
        <v/>
      </c>
      <c r="I111" s="5" t="str">
        <f aca="false">IF(OR(BOM!$D117="",BOM!$R117="Cancelled"),"",IF(BOM!M117="","",BOM!M117))</f>
        <v/>
      </c>
      <c r="J111" s="5" t="str">
        <f aca="false">IF(OR(BOM!$D117="",BOM!$R117="Cancelled"),"",IF(OR(BOM!R117="Received",BOM!R117="NSW Purchased"),"Received",IF(BOM!R117="Purchased – Not Received","Ordered",IF(BOM!R117="Finalized – Not Purchased","Design Released","In Design"))))</f>
        <v/>
      </c>
      <c r="K111" s="52" t="str">
        <f aca="false">IF(OR(BOM!$D117="",BOM!$R117="Cancelled"),"",IF(BOM!W117="","",BOM!W117))</f>
        <v/>
      </c>
    </row>
    <row r="112" customFormat="false" ht="15" hidden="false" customHeight="false" outlineLevel="0" collapsed="false">
      <c r="A112" s="5" t="str">
        <f aca="false">IF(OR(BOM!$D118="",BOM!$R118="Cancelled"),"",IF(BOM!A118="","",BOM!A118))</f>
        <v/>
      </c>
      <c r="B112" s="5" t="str">
        <f aca="false">IF(OR(BOM!$D118="",BOM!$R118="Cancelled"),"",IF(BOM!B118="","",BOM!B118))</f>
        <v/>
      </c>
      <c r="C112" s="5" t="str">
        <f aca="false">IF(OR(BOM!$D118="",BOM!$R118="Cancelled"),"",IF(BOM!C118="","",BOM!C118))</f>
        <v/>
      </c>
      <c r="D112" s="5" t="str">
        <f aca="false">IF(OR(BOM!$D118="",BOM!$R118="Cancelled"),"",IF(BOM!D118="","",BOM!D118))</f>
        <v/>
      </c>
      <c r="E112" s="5" t="str">
        <f aca="false">IF(OR(BOM!$D118="",BOM!$R118="Cancelled"),"",IF(BOM!E118="","",BOM!E118))</f>
        <v/>
      </c>
      <c r="F112" s="5" t="str">
        <f aca="false">IF(OR(BOM!$D118="",BOM!$R118="Cancelled"),"",IF(BOM!F118="","",BOM!F118))</f>
        <v/>
      </c>
      <c r="G112" s="5" t="str">
        <f aca="false">IF(OR(BOM!$D118="",BOM!$R118="Cancelled"),"",IF(BOM!J118="","",BOM!J118))</f>
        <v/>
      </c>
      <c r="H112" s="5" t="str">
        <f aca="false">IF(OR(BOM!$D118="",BOM!$R118="Cancelled"),"",IF(BOM!K118="","",BOM!K118))</f>
        <v/>
      </c>
      <c r="I112" s="5" t="str">
        <f aca="false">IF(OR(BOM!$D118="",BOM!$R118="Cancelled"),"",IF(BOM!M118="","",BOM!M118))</f>
        <v/>
      </c>
      <c r="J112" s="5" t="str">
        <f aca="false">IF(OR(BOM!$D118="",BOM!$R118="Cancelled"),"",IF(OR(BOM!R118="Received",BOM!R118="NSW Purchased"),"Received",IF(BOM!R118="Purchased – Not Received","Ordered",IF(BOM!R118="Finalized – Not Purchased","Design Released","In Design"))))</f>
        <v/>
      </c>
      <c r="K112" s="52" t="str">
        <f aca="false">IF(OR(BOM!$D118="",BOM!$R118="Cancelled"),"",IF(BOM!W118="","",BOM!W118))</f>
        <v/>
      </c>
    </row>
    <row r="113" customFormat="false" ht="15" hidden="false" customHeight="false" outlineLevel="0" collapsed="false">
      <c r="A113" s="5" t="str">
        <f aca="false">IF(OR(BOM!$D119="",BOM!$R119="Cancelled"),"",IF(BOM!A119="","",BOM!A119))</f>
        <v/>
      </c>
      <c r="B113" s="5" t="str">
        <f aca="false">IF(OR(BOM!$D119="",BOM!$R119="Cancelled"),"",IF(BOM!B119="","",BOM!B119))</f>
        <v/>
      </c>
      <c r="C113" s="5" t="str">
        <f aca="false">IF(OR(BOM!$D119="",BOM!$R119="Cancelled"),"",IF(BOM!C119="","",BOM!C119))</f>
        <v/>
      </c>
      <c r="D113" s="5" t="str">
        <f aca="false">IF(OR(BOM!$D119="",BOM!$R119="Cancelled"),"",IF(BOM!D119="","",BOM!D119))</f>
        <v/>
      </c>
      <c r="E113" s="5" t="str">
        <f aca="false">IF(OR(BOM!$D119="",BOM!$R119="Cancelled"),"",IF(BOM!E119="","",BOM!E119))</f>
        <v/>
      </c>
      <c r="F113" s="5" t="str">
        <f aca="false">IF(OR(BOM!$D119="",BOM!$R119="Cancelled"),"",IF(BOM!F119="","",BOM!F119))</f>
        <v/>
      </c>
      <c r="G113" s="5" t="str">
        <f aca="false">IF(OR(BOM!$D119="",BOM!$R119="Cancelled"),"",IF(BOM!J119="","",BOM!J119))</f>
        <v/>
      </c>
      <c r="H113" s="5" t="str">
        <f aca="false">IF(OR(BOM!$D119="",BOM!$R119="Cancelled"),"",IF(BOM!K119="","",BOM!K119))</f>
        <v/>
      </c>
      <c r="I113" s="5" t="str">
        <f aca="false">IF(OR(BOM!$D119="",BOM!$R119="Cancelled"),"",IF(BOM!M119="","",BOM!M119))</f>
        <v/>
      </c>
      <c r="J113" s="5" t="str">
        <f aca="false">IF(OR(BOM!$D119="",BOM!$R119="Cancelled"),"",IF(OR(BOM!R119="Received",BOM!R119="NSW Purchased"),"Received",IF(BOM!R119="Purchased – Not Received","Ordered",IF(BOM!R119="Finalized – Not Purchased","Design Released","In Design"))))</f>
        <v/>
      </c>
      <c r="K113" s="52" t="str">
        <f aca="false">IF(OR(BOM!$D119="",BOM!$R119="Cancelled"),"",IF(BOM!W119="","",BOM!W119))</f>
        <v/>
      </c>
    </row>
    <row r="114" customFormat="false" ht="15" hidden="false" customHeight="false" outlineLevel="0" collapsed="false">
      <c r="A114" s="5" t="str">
        <f aca="false">IF(OR(BOM!$D120="",BOM!$R120="Cancelled"),"",IF(BOM!A120="","",BOM!A120))</f>
        <v/>
      </c>
      <c r="B114" s="5" t="str">
        <f aca="false">IF(OR(BOM!$D120="",BOM!$R120="Cancelled"),"",IF(BOM!B120="","",BOM!B120))</f>
        <v/>
      </c>
      <c r="C114" s="5" t="str">
        <f aca="false">IF(OR(BOM!$D120="",BOM!$R120="Cancelled"),"",IF(BOM!C120="","",BOM!C120))</f>
        <v/>
      </c>
      <c r="D114" s="5" t="str">
        <f aca="false">IF(OR(BOM!$D120="",BOM!$R120="Cancelled"),"",IF(BOM!D120="","",BOM!D120))</f>
        <v/>
      </c>
      <c r="E114" s="5" t="str">
        <f aca="false">IF(OR(BOM!$D120="",BOM!$R120="Cancelled"),"",IF(BOM!E120="","",BOM!E120))</f>
        <v/>
      </c>
      <c r="F114" s="5" t="str">
        <f aca="false">IF(OR(BOM!$D120="",BOM!$R120="Cancelled"),"",IF(BOM!F120="","",BOM!F120))</f>
        <v/>
      </c>
      <c r="G114" s="5" t="str">
        <f aca="false">IF(OR(BOM!$D120="",BOM!$R120="Cancelled"),"",IF(BOM!J120="","",BOM!J120))</f>
        <v/>
      </c>
      <c r="H114" s="5" t="str">
        <f aca="false">IF(OR(BOM!$D120="",BOM!$R120="Cancelled"),"",IF(BOM!K120="","",BOM!K120))</f>
        <v/>
      </c>
      <c r="I114" s="5" t="str">
        <f aca="false">IF(OR(BOM!$D120="",BOM!$R120="Cancelled"),"",IF(BOM!M120="","",BOM!M120))</f>
        <v/>
      </c>
      <c r="J114" s="5" t="str">
        <f aca="false">IF(OR(BOM!$D120="",BOM!$R120="Cancelled"),"",IF(OR(BOM!R120="Received",BOM!R120="NSW Purchased"),"Received",IF(BOM!R120="Purchased – Not Received","Ordered",IF(BOM!R120="Finalized – Not Purchased","Design Released","In Design"))))</f>
        <v/>
      </c>
      <c r="K114" s="52" t="str">
        <f aca="false">IF(OR(BOM!$D120="",BOM!$R120="Cancelled"),"",IF(BOM!W120="","",BOM!W120))</f>
        <v/>
      </c>
    </row>
    <row r="115" customFormat="false" ht="15" hidden="false" customHeight="false" outlineLevel="0" collapsed="false">
      <c r="A115" s="5" t="str">
        <f aca="false">IF(OR(BOM!$D121="",BOM!$R121="Cancelled"),"",IF(BOM!A121="","",BOM!A121))</f>
        <v/>
      </c>
      <c r="B115" s="5" t="str">
        <f aca="false">IF(OR(BOM!$D121="",BOM!$R121="Cancelled"),"",IF(BOM!B121="","",BOM!B121))</f>
        <v/>
      </c>
      <c r="C115" s="5" t="str">
        <f aca="false">IF(OR(BOM!$D121="",BOM!$R121="Cancelled"),"",IF(BOM!C121="","",BOM!C121))</f>
        <v/>
      </c>
      <c r="D115" s="5" t="str">
        <f aca="false">IF(OR(BOM!$D121="",BOM!$R121="Cancelled"),"",IF(BOM!D121="","",BOM!D121))</f>
        <v/>
      </c>
      <c r="E115" s="5" t="str">
        <f aca="false">IF(OR(BOM!$D121="",BOM!$R121="Cancelled"),"",IF(BOM!E121="","",BOM!E121))</f>
        <v/>
      </c>
      <c r="F115" s="5" t="str">
        <f aca="false">IF(OR(BOM!$D121="",BOM!$R121="Cancelled"),"",IF(BOM!F121="","",BOM!F121))</f>
        <v/>
      </c>
      <c r="G115" s="5" t="str">
        <f aca="false">IF(OR(BOM!$D121="",BOM!$R121="Cancelled"),"",IF(BOM!J121="","",BOM!J121))</f>
        <v/>
      </c>
      <c r="H115" s="5" t="str">
        <f aca="false">IF(OR(BOM!$D121="",BOM!$R121="Cancelled"),"",IF(BOM!K121="","",BOM!K121))</f>
        <v/>
      </c>
      <c r="I115" s="5" t="str">
        <f aca="false">IF(OR(BOM!$D121="",BOM!$R121="Cancelled"),"",IF(BOM!M121="","",BOM!M121))</f>
        <v/>
      </c>
      <c r="J115" s="5" t="str">
        <f aca="false">IF(OR(BOM!$D121="",BOM!$R121="Cancelled"),"",IF(OR(BOM!R121="Received",BOM!R121="NSW Purchased"),"Received",IF(BOM!R121="Purchased – Not Received","Ordered",IF(BOM!R121="Finalized – Not Purchased","Design Released","In Design"))))</f>
        <v/>
      </c>
      <c r="K115" s="52" t="str">
        <f aca="false">IF(OR(BOM!$D121="",BOM!$R121="Cancelled"),"",IF(BOM!W121="","",BOM!W121))</f>
        <v/>
      </c>
    </row>
    <row r="116" customFormat="false" ht="15" hidden="false" customHeight="false" outlineLevel="0" collapsed="false">
      <c r="A116" s="5" t="str">
        <f aca="false">IF(OR(BOM!$D122="",BOM!$R122="Cancelled"),"",IF(BOM!A122="","",BOM!A122))</f>
        <v/>
      </c>
      <c r="B116" s="5" t="str">
        <f aca="false">IF(OR(BOM!$D122="",BOM!$R122="Cancelled"),"",IF(BOM!B122="","",BOM!B122))</f>
        <v/>
      </c>
      <c r="C116" s="5" t="str">
        <f aca="false">IF(OR(BOM!$D122="",BOM!$R122="Cancelled"),"",IF(BOM!C122="","",BOM!C122))</f>
        <v/>
      </c>
      <c r="D116" s="5" t="str">
        <f aca="false">IF(OR(BOM!$D122="",BOM!$R122="Cancelled"),"",IF(BOM!D122="","",BOM!D122))</f>
        <v/>
      </c>
      <c r="E116" s="5" t="str">
        <f aca="false">IF(OR(BOM!$D122="",BOM!$R122="Cancelled"),"",IF(BOM!E122="","",BOM!E122))</f>
        <v/>
      </c>
      <c r="F116" s="5" t="str">
        <f aca="false">IF(OR(BOM!$D122="",BOM!$R122="Cancelled"),"",IF(BOM!F122="","",BOM!F122))</f>
        <v/>
      </c>
      <c r="G116" s="5" t="str">
        <f aca="false">IF(OR(BOM!$D122="",BOM!$R122="Cancelled"),"",IF(BOM!J122="","",BOM!J122))</f>
        <v/>
      </c>
      <c r="H116" s="5" t="str">
        <f aca="false">IF(OR(BOM!$D122="",BOM!$R122="Cancelled"),"",IF(BOM!K122="","",BOM!K122))</f>
        <v/>
      </c>
      <c r="I116" s="5" t="str">
        <f aca="false">IF(OR(BOM!$D122="",BOM!$R122="Cancelled"),"",IF(BOM!M122="","",BOM!M122))</f>
        <v/>
      </c>
      <c r="J116" s="5" t="str">
        <f aca="false">IF(OR(BOM!$D122="",BOM!$R122="Cancelled"),"",IF(OR(BOM!R122="Received",BOM!R122="NSW Purchased"),"Received",IF(BOM!R122="Purchased – Not Received","Ordered",IF(BOM!R122="Finalized – Not Purchased","Design Released","In Design"))))</f>
        <v/>
      </c>
      <c r="K116" s="52" t="str">
        <f aca="false">IF(OR(BOM!$D122="",BOM!$R122="Cancelled"),"",IF(BOM!W122="","",BOM!W122))</f>
        <v/>
      </c>
    </row>
    <row r="117" customFormat="false" ht="15" hidden="false" customHeight="false" outlineLevel="0" collapsed="false">
      <c r="A117" s="5" t="str">
        <f aca="false">IF(OR(BOM!$D123="",BOM!$R123="Cancelled"),"",IF(BOM!A123="","",BOM!A123))</f>
        <v/>
      </c>
      <c r="B117" s="5" t="str">
        <f aca="false">IF(OR(BOM!$D123="",BOM!$R123="Cancelled"),"",IF(BOM!B123="","",BOM!B123))</f>
        <v/>
      </c>
      <c r="C117" s="5" t="str">
        <f aca="false">IF(OR(BOM!$D123="",BOM!$R123="Cancelled"),"",IF(BOM!C123="","",BOM!C123))</f>
        <v/>
      </c>
      <c r="D117" s="5" t="str">
        <f aca="false">IF(OR(BOM!$D123="",BOM!$R123="Cancelled"),"",IF(BOM!D123="","",BOM!D123))</f>
        <v/>
      </c>
      <c r="E117" s="5" t="str">
        <f aca="false">IF(OR(BOM!$D123="",BOM!$R123="Cancelled"),"",IF(BOM!E123="","",BOM!E123))</f>
        <v/>
      </c>
      <c r="F117" s="5" t="str">
        <f aca="false">IF(OR(BOM!$D123="",BOM!$R123="Cancelled"),"",IF(BOM!F123="","",BOM!F123))</f>
        <v/>
      </c>
      <c r="G117" s="5" t="str">
        <f aca="false">IF(OR(BOM!$D123="",BOM!$R123="Cancelled"),"",IF(BOM!J123="","",BOM!J123))</f>
        <v/>
      </c>
      <c r="H117" s="5" t="str">
        <f aca="false">IF(OR(BOM!$D123="",BOM!$R123="Cancelled"),"",IF(BOM!K123="","",BOM!K123))</f>
        <v/>
      </c>
      <c r="I117" s="5" t="str">
        <f aca="false">IF(OR(BOM!$D123="",BOM!$R123="Cancelled"),"",IF(BOM!M123="","",BOM!M123))</f>
        <v/>
      </c>
      <c r="J117" s="5" t="str">
        <f aca="false">IF(OR(BOM!$D123="",BOM!$R123="Cancelled"),"",IF(OR(BOM!R123="Received",BOM!R123="NSW Purchased"),"Received",IF(BOM!R123="Purchased – Not Received","Ordered",IF(BOM!R123="Finalized – Not Purchased","Design Released","In Design"))))</f>
        <v/>
      </c>
      <c r="K117" s="52" t="str">
        <f aca="false">IF(OR(BOM!$D123="",BOM!$R123="Cancelled"),"",IF(BOM!W123="","",BOM!W123))</f>
        <v/>
      </c>
    </row>
    <row r="118" customFormat="false" ht="15" hidden="false" customHeight="false" outlineLevel="0" collapsed="false">
      <c r="A118" s="5" t="str">
        <f aca="false">IF(OR(BOM!$D124="",BOM!$R124="Cancelled"),"",IF(BOM!A124="","",BOM!A124))</f>
        <v/>
      </c>
      <c r="B118" s="5" t="str">
        <f aca="false">IF(OR(BOM!$D124="",BOM!$R124="Cancelled"),"",IF(BOM!B124="","",BOM!B124))</f>
        <v/>
      </c>
      <c r="C118" s="5" t="str">
        <f aca="false">IF(OR(BOM!$D124="",BOM!$R124="Cancelled"),"",IF(BOM!C124="","",BOM!C124))</f>
        <v/>
      </c>
      <c r="D118" s="5" t="str">
        <f aca="false">IF(OR(BOM!$D124="",BOM!$R124="Cancelled"),"",IF(BOM!D124="","",BOM!D124))</f>
        <v/>
      </c>
      <c r="E118" s="5" t="str">
        <f aca="false">IF(OR(BOM!$D124="",BOM!$R124="Cancelled"),"",IF(BOM!E124="","",BOM!E124))</f>
        <v/>
      </c>
      <c r="F118" s="5" t="str">
        <f aca="false">IF(OR(BOM!$D124="",BOM!$R124="Cancelled"),"",IF(BOM!F124="","",BOM!F124))</f>
        <v/>
      </c>
      <c r="G118" s="5" t="str">
        <f aca="false">IF(OR(BOM!$D124="",BOM!$R124="Cancelled"),"",IF(BOM!J124="","",BOM!J124))</f>
        <v/>
      </c>
      <c r="H118" s="5" t="str">
        <f aca="false">IF(OR(BOM!$D124="",BOM!$R124="Cancelled"),"",IF(BOM!K124="","",BOM!K124))</f>
        <v/>
      </c>
      <c r="I118" s="5" t="str">
        <f aca="false">IF(OR(BOM!$D124="",BOM!$R124="Cancelled"),"",IF(BOM!M124="","",BOM!M124))</f>
        <v/>
      </c>
      <c r="J118" s="5" t="str">
        <f aca="false">IF(OR(BOM!$D124="",BOM!$R124="Cancelled"),"",IF(OR(BOM!R124="Received",BOM!R124="NSW Purchased"),"Received",IF(BOM!R124="Purchased – Not Received","Ordered",IF(BOM!R124="Finalized – Not Purchased","Design Released","In Design"))))</f>
        <v/>
      </c>
      <c r="K118" s="52" t="str">
        <f aca="false">IF(OR(BOM!$D124="",BOM!$R124="Cancelled"),"",IF(BOM!W124="","",BOM!W124))</f>
        <v/>
      </c>
    </row>
    <row r="119" customFormat="false" ht="15" hidden="false" customHeight="false" outlineLevel="0" collapsed="false">
      <c r="A119" s="5" t="str">
        <f aca="false">IF(OR(BOM!$D125="",BOM!$R125="Cancelled"),"",IF(BOM!A125="","",BOM!A125))</f>
        <v/>
      </c>
      <c r="B119" s="5" t="str">
        <f aca="false">IF(OR(BOM!$D125="",BOM!$R125="Cancelled"),"",IF(BOM!B125="","",BOM!B125))</f>
        <v/>
      </c>
      <c r="C119" s="5" t="str">
        <f aca="false">IF(OR(BOM!$D125="",BOM!$R125="Cancelled"),"",IF(BOM!C125="","",BOM!C125))</f>
        <v/>
      </c>
      <c r="D119" s="5" t="str">
        <f aca="false">IF(OR(BOM!$D125="",BOM!$R125="Cancelled"),"",IF(BOM!D125="","",BOM!D125))</f>
        <v/>
      </c>
      <c r="E119" s="5" t="str">
        <f aca="false">IF(OR(BOM!$D125="",BOM!$R125="Cancelled"),"",IF(BOM!E125="","",BOM!E125))</f>
        <v/>
      </c>
      <c r="F119" s="5" t="str">
        <f aca="false">IF(OR(BOM!$D125="",BOM!$R125="Cancelled"),"",IF(BOM!F125="","",BOM!F125))</f>
        <v/>
      </c>
      <c r="G119" s="5" t="str">
        <f aca="false">IF(OR(BOM!$D125="",BOM!$R125="Cancelled"),"",IF(BOM!J125="","",BOM!J125))</f>
        <v/>
      </c>
      <c r="H119" s="5" t="str">
        <f aca="false">IF(OR(BOM!$D125="",BOM!$R125="Cancelled"),"",IF(BOM!K125="","",BOM!K125))</f>
        <v/>
      </c>
      <c r="I119" s="5" t="str">
        <f aca="false">IF(OR(BOM!$D125="",BOM!$R125="Cancelled"),"",IF(BOM!M125="","",BOM!M125))</f>
        <v/>
      </c>
      <c r="J119" s="5" t="str">
        <f aca="false">IF(OR(BOM!$D125="",BOM!$R125="Cancelled"),"",IF(OR(BOM!R125="Received",BOM!R125="NSW Purchased"),"Received",IF(BOM!R125="Purchased – Not Received","Ordered",IF(BOM!R125="Finalized – Not Purchased","Design Released","In Design"))))</f>
        <v/>
      </c>
      <c r="K119" s="52" t="str">
        <f aca="false">IF(OR(BOM!$D125="",BOM!$R125="Cancelled"),"",IF(BOM!W125="","",BOM!W125))</f>
        <v/>
      </c>
    </row>
    <row r="120" customFormat="false" ht="15" hidden="false" customHeight="false" outlineLevel="0" collapsed="false">
      <c r="A120" s="5" t="str">
        <f aca="false">IF(OR(BOM!$D126="",BOM!$R126="Cancelled"),"",IF(BOM!A126="","",BOM!A126))</f>
        <v/>
      </c>
      <c r="B120" s="5" t="str">
        <f aca="false">IF(OR(BOM!$D126="",BOM!$R126="Cancelled"),"",IF(BOM!B126="","",BOM!B126))</f>
        <v/>
      </c>
      <c r="C120" s="5" t="str">
        <f aca="false">IF(OR(BOM!$D126="",BOM!$R126="Cancelled"),"",IF(BOM!C126="","",BOM!C126))</f>
        <v/>
      </c>
      <c r="D120" s="5" t="str">
        <f aca="false">IF(OR(BOM!$D126="",BOM!$R126="Cancelled"),"",IF(BOM!D126="","",BOM!D126))</f>
        <v/>
      </c>
      <c r="E120" s="5" t="str">
        <f aca="false">IF(OR(BOM!$D126="",BOM!$R126="Cancelled"),"",IF(BOM!E126="","",BOM!E126))</f>
        <v/>
      </c>
      <c r="F120" s="5" t="str">
        <f aca="false">IF(OR(BOM!$D126="",BOM!$R126="Cancelled"),"",IF(BOM!F126="","",BOM!F126))</f>
        <v/>
      </c>
      <c r="G120" s="5" t="str">
        <f aca="false">IF(OR(BOM!$D126="",BOM!$R126="Cancelled"),"",IF(BOM!J126="","",BOM!J126))</f>
        <v/>
      </c>
      <c r="H120" s="5" t="str">
        <f aca="false">IF(OR(BOM!$D126="",BOM!$R126="Cancelled"),"",IF(BOM!K126="","",BOM!K126))</f>
        <v/>
      </c>
      <c r="I120" s="5" t="str">
        <f aca="false">IF(OR(BOM!$D126="",BOM!$R126="Cancelled"),"",IF(BOM!M126="","",BOM!M126))</f>
        <v/>
      </c>
      <c r="J120" s="5" t="str">
        <f aca="false">IF(OR(BOM!$D126="",BOM!$R126="Cancelled"),"",IF(OR(BOM!R126="Received",BOM!R126="NSW Purchased"),"Received",IF(BOM!R126="Purchased – Not Received","Ordered",IF(BOM!R126="Finalized – Not Purchased","Design Released","In Design"))))</f>
        <v/>
      </c>
      <c r="K120" s="52" t="str">
        <f aca="false">IF(OR(BOM!$D126="",BOM!$R126="Cancelled"),"",IF(BOM!W126="","",BOM!W126))</f>
        <v/>
      </c>
    </row>
    <row r="121" customFormat="false" ht="15" hidden="false" customHeight="false" outlineLevel="0" collapsed="false">
      <c r="A121" s="5" t="str">
        <f aca="false">IF(OR(BOM!$D127="",BOM!$R127="Cancelled"),"",IF(BOM!A127="","",BOM!A127))</f>
        <v/>
      </c>
      <c r="B121" s="5" t="str">
        <f aca="false">IF(OR(BOM!$D127="",BOM!$R127="Cancelled"),"",IF(BOM!B127="","",BOM!B127))</f>
        <v/>
      </c>
      <c r="C121" s="5" t="str">
        <f aca="false">IF(OR(BOM!$D127="",BOM!$R127="Cancelled"),"",IF(BOM!C127="","",BOM!C127))</f>
        <v/>
      </c>
      <c r="D121" s="5" t="str">
        <f aca="false">IF(OR(BOM!$D127="",BOM!$R127="Cancelled"),"",IF(BOM!D127="","",BOM!D127))</f>
        <v/>
      </c>
      <c r="E121" s="5" t="str">
        <f aca="false">IF(OR(BOM!$D127="",BOM!$R127="Cancelled"),"",IF(BOM!E127="","",BOM!E127))</f>
        <v/>
      </c>
      <c r="F121" s="5" t="str">
        <f aca="false">IF(OR(BOM!$D127="",BOM!$R127="Cancelled"),"",IF(BOM!F127="","",BOM!F127))</f>
        <v/>
      </c>
      <c r="G121" s="5" t="str">
        <f aca="false">IF(OR(BOM!$D127="",BOM!$R127="Cancelled"),"",IF(BOM!J127="","",BOM!J127))</f>
        <v/>
      </c>
      <c r="H121" s="5" t="str">
        <f aca="false">IF(OR(BOM!$D127="",BOM!$R127="Cancelled"),"",IF(BOM!K127="","",BOM!K127))</f>
        <v/>
      </c>
      <c r="I121" s="5" t="str">
        <f aca="false">IF(OR(BOM!$D127="",BOM!$R127="Cancelled"),"",IF(BOM!M127="","",BOM!M127))</f>
        <v/>
      </c>
      <c r="J121" s="5" t="str">
        <f aca="false">IF(OR(BOM!$D127="",BOM!$R127="Cancelled"),"",IF(OR(BOM!R127="Received",BOM!R127="NSW Purchased"),"Received",IF(BOM!R127="Purchased – Not Received","Ordered",IF(BOM!R127="Finalized – Not Purchased","Design Released","In Design"))))</f>
        <v/>
      </c>
      <c r="K121" s="52" t="str">
        <f aca="false">IF(OR(BOM!$D127="",BOM!$R127="Cancelled"),"",IF(BOM!W127="","",BOM!W127))</f>
        <v/>
      </c>
    </row>
    <row r="122" customFormat="false" ht="15" hidden="false" customHeight="false" outlineLevel="0" collapsed="false">
      <c r="A122" s="5" t="str">
        <f aca="false">IF(OR(BOM!$D128="",BOM!$R128="Cancelled"),"",IF(BOM!A128="","",BOM!A128))</f>
        <v/>
      </c>
      <c r="B122" s="5" t="str">
        <f aca="false">IF(OR(BOM!$D128="",BOM!$R128="Cancelled"),"",IF(BOM!B128="","",BOM!B128))</f>
        <v/>
      </c>
      <c r="C122" s="5" t="str">
        <f aca="false">IF(OR(BOM!$D128="",BOM!$R128="Cancelled"),"",IF(BOM!C128="","",BOM!C128))</f>
        <v/>
      </c>
      <c r="D122" s="5" t="str">
        <f aca="false">IF(OR(BOM!$D128="",BOM!$R128="Cancelled"),"",IF(BOM!D128="","",BOM!D128))</f>
        <v/>
      </c>
      <c r="E122" s="5" t="str">
        <f aca="false">IF(OR(BOM!$D128="",BOM!$R128="Cancelled"),"",IF(BOM!E128="","",BOM!E128))</f>
        <v/>
      </c>
      <c r="F122" s="5" t="str">
        <f aca="false">IF(OR(BOM!$D128="",BOM!$R128="Cancelled"),"",IF(BOM!F128="","",BOM!F128))</f>
        <v/>
      </c>
      <c r="G122" s="5" t="str">
        <f aca="false">IF(OR(BOM!$D128="",BOM!$R128="Cancelled"),"",IF(BOM!J128="","",BOM!J128))</f>
        <v/>
      </c>
      <c r="H122" s="5" t="str">
        <f aca="false">IF(OR(BOM!$D128="",BOM!$R128="Cancelled"),"",IF(BOM!K128="","",BOM!K128))</f>
        <v/>
      </c>
      <c r="I122" s="5" t="str">
        <f aca="false">IF(OR(BOM!$D128="",BOM!$R128="Cancelled"),"",IF(BOM!M128="","",BOM!M128))</f>
        <v/>
      </c>
      <c r="J122" s="5" t="str">
        <f aca="false">IF(OR(BOM!$D128="",BOM!$R128="Cancelled"),"",IF(OR(BOM!R128="Received",BOM!R128="NSW Purchased"),"Received",IF(BOM!R128="Purchased – Not Received","Ordered",IF(BOM!R128="Finalized – Not Purchased","Design Released","In Design"))))</f>
        <v/>
      </c>
      <c r="K122" s="52" t="str">
        <f aca="false">IF(OR(BOM!$D128="",BOM!$R128="Cancelled"),"",IF(BOM!W128="","",BOM!W128))</f>
        <v/>
      </c>
    </row>
    <row r="123" customFormat="false" ht="15" hidden="false" customHeight="false" outlineLevel="0" collapsed="false">
      <c r="A123" s="5" t="str">
        <f aca="false">IF(OR(BOM!$D129="",BOM!$R129="Cancelled"),"",IF(BOM!A129="","",BOM!A129))</f>
        <v/>
      </c>
      <c r="B123" s="5" t="str">
        <f aca="false">IF(OR(BOM!$D129="",BOM!$R129="Cancelled"),"",IF(BOM!B129="","",BOM!B129))</f>
        <v/>
      </c>
      <c r="C123" s="5" t="str">
        <f aca="false">IF(OR(BOM!$D129="",BOM!$R129="Cancelled"),"",IF(BOM!C129="","",BOM!C129))</f>
        <v/>
      </c>
      <c r="D123" s="5" t="str">
        <f aca="false">IF(OR(BOM!$D129="",BOM!$R129="Cancelled"),"",IF(BOM!D129="","",BOM!D129))</f>
        <v/>
      </c>
      <c r="E123" s="5" t="str">
        <f aca="false">IF(OR(BOM!$D129="",BOM!$R129="Cancelled"),"",IF(BOM!E129="","",BOM!E129))</f>
        <v/>
      </c>
      <c r="F123" s="5" t="str">
        <f aca="false">IF(OR(BOM!$D129="",BOM!$R129="Cancelled"),"",IF(BOM!F129="","",BOM!F129))</f>
        <v/>
      </c>
      <c r="G123" s="5" t="str">
        <f aca="false">IF(OR(BOM!$D129="",BOM!$R129="Cancelled"),"",IF(BOM!J129="","",BOM!J129))</f>
        <v/>
      </c>
      <c r="H123" s="5" t="str">
        <f aca="false">IF(OR(BOM!$D129="",BOM!$R129="Cancelled"),"",IF(BOM!K129="","",BOM!K129))</f>
        <v/>
      </c>
      <c r="I123" s="5" t="str">
        <f aca="false">IF(OR(BOM!$D129="",BOM!$R129="Cancelled"),"",IF(BOM!M129="","",BOM!M129))</f>
        <v/>
      </c>
      <c r="J123" s="5" t="str">
        <f aca="false">IF(OR(BOM!$D129="",BOM!$R129="Cancelled"),"",IF(OR(BOM!R129="Received",BOM!R129="NSW Purchased"),"Received",IF(BOM!R129="Purchased – Not Received","Ordered",IF(BOM!R129="Finalized – Not Purchased","Design Released","In Design"))))</f>
        <v/>
      </c>
      <c r="K123" s="52" t="str">
        <f aca="false">IF(OR(BOM!$D129="",BOM!$R129="Cancelled"),"",IF(BOM!W129="","",BOM!W129))</f>
        <v/>
      </c>
    </row>
    <row r="124" customFormat="false" ht="15" hidden="false" customHeight="false" outlineLevel="0" collapsed="false">
      <c r="A124" s="5" t="str">
        <f aca="false">IF(OR(BOM!$D130="",BOM!$R130="Cancelled"),"",IF(BOM!A130="","",BOM!A130))</f>
        <v/>
      </c>
      <c r="B124" s="5" t="str">
        <f aca="false">IF(OR(BOM!$D130="",BOM!$R130="Cancelled"),"",IF(BOM!B130="","",BOM!B130))</f>
        <v/>
      </c>
      <c r="C124" s="5" t="str">
        <f aca="false">IF(OR(BOM!$D130="",BOM!$R130="Cancelled"),"",IF(BOM!C130="","",BOM!C130))</f>
        <v/>
      </c>
      <c r="D124" s="5" t="str">
        <f aca="false">IF(OR(BOM!$D130="",BOM!$R130="Cancelled"),"",IF(BOM!D130="","",BOM!D130))</f>
        <v/>
      </c>
      <c r="E124" s="5" t="str">
        <f aca="false">IF(OR(BOM!$D130="",BOM!$R130="Cancelled"),"",IF(BOM!E130="","",BOM!E130))</f>
        <v/>
      </c>
      <c r="F124" s="5" t="str">
        <f aca="false">IF(OR(BOM!$D130="",BOM!$R130="Cancelled"),"",IF(BOM!F130="","",BOM!F130))</f>
        <v/>
      </c>
      <c r="G124" s="5" t="str">
        <f aca="false">IF(OR(BOM!$D130="",BOM!$R130="Cancelled"),"",IF(BOM!J130="","",BOM!J130))</f>
        <v/>
      </c>
      <c r="H124" s="5" t="str">
        <f aca="false">IF(OR(BOM!$D130="",BOM!$R130="Cancelled"),"",IF(BOM!K130="","",BOM!K130))</f>
        <v/>
      </c>
      <c r="I124" s="5" t="str">
        <f aca="false">IF(OR(BOM!$D130="",BOM!$R130="Cancelled"),"",IF(BOM!M130="","",BOM!M130))</f>
        <v/>
      </c>
      <c r="J124" s="5" t="str">
        <f aca="false">IF(OR(BOM!$D130="",BOM!$R130="Cancelled"),"",IF(OR(BOM!R130="Received",BOM!R130="NSW Purchased"),"Received",IF(BOM!R130="Purchased – Not Received","Ordered",IF(BOM!R130="Finalized – Not Purchased","Design Released","In Design"))))</f>
        <v/>
      </c>
      <c r="K124" s="52" t="str">
        <f aca="false">IF(OR(BOM!$D130="",BOM!$R130="Cancelled"),"",IF(BOM!W130="","",BOM!W130))</f>
        <v/>
      </c>
    </row>
    <row r="125" customFormat="false" ht="15" hidden="false" customHeight="false" outlineLevel="0" collapsed="false">
      <c r="A125" s="5" t="str">
        <f aca="false">IF(OR(BOM!$D131="",BOM!$R131="Cancelled"),"",IF(BOM!A131="","",BOM!A131))</f>
        <v/>
      </c>
      <c r="B125" s="5" t="str">
        <f aca="false">IF(OR(BOM!$D131="",BOM!$R131="Cancelled"),"",IF(BOM!B131="","",BOM!B131))</f>
        <v/>
      </c>
      <c r="C125" s="5" t="str">
        <f aca="false">IF(OR(BOM!$D131="",BOM!$R131="Cancelled"),"",IF(BOM!C131="","",BOM!C131))</f>
        <v/>
      </c>
      <c r="D125" s="5" t="str">
        <f aca="false">IF(OR(BOM!$D131="",BOM!$R131="Cancelled"),"",IF(BOM!D131="","",BOM!D131))</f>
        <v/>
      </c>
      <c r="E125" s="5" t="str">
        <f aca="false">IF(OR(BOM!$D131="",BOM!$R131="Cancelled"),"",IF(BOM!E131="","",BOM!E131))</f>
        <v/>
      </c>
      <c r="F125" s="5" t="str">
        <f aca="false">IF(OR(BOM!$D131="",BOM!$R131="Cancelled"),"",IF(BOM!F131="","",BOM!F131))</f>
        <v/>
      </c>
      <c r="G125" s="5" t="str">
        <f aca="false">IF(OR(BOM!$D131="",BOM!$R131="Cancelled"),"",IF(BOM!J131="","",BOM!J131))</f>
        <v/>
      </c>
      <c r="H125" s="5" t="str">
        <f aca="false">IF(OR(BOM!$D131="",BOM!$R131="Cancelled"),"",IF(BOM!K131="","",BOM!K131))</f>
        <v/>
      </c>
      <c r="I125" s="5" t="str">
        <f aca="false">IF(OR(BOM!$D131="",BOM!$R131="Cancelled"),"",IF(BOM!M131="","",BOM!M131))</f>
        <v/>
      </c>
      <c r="J125" s="5" t="str">
        <f aca="false">IF(OR(BOM!$D131="",BOM!$R131="Cancelled"),"",IF(OR(BOM!R131="Received",BOM!R131="NSW Purchased"),"Received",IF(BOM!R131="Purchased – Not Received","Ordered",IF(BOM!R131="Finalized – Not Purchased","Design Released","In Design"))))</f>
        <v/>
      </c>
      <c r="K125" s="52" t="str">
        <f aca="false">IF(OR(BOM!$D131="",BOM!$R131="Cancelled"),"",IF(BOM!W131="","",BOM!W131))</f>
        <v/>
      </c>
    </row>
    <row r="126" customFormat="false" ht="15" hidden="false" customHeight="false" outlineLevel="0" collapsed="false">
      <c r="A126" s="5" t="str">
        <f aca="false">IF(OR(BOM!$D132="",BOM!$R132="Cancelled"),"",IF(BOM!A132="","",BOM!A132))</f>
        <v/>
      </c>
      <c r="B126" s="5" t="str">
        <f aca="false">IF(OR(BOM!$D132="",BOM!$R132="Cancelled"),"",IF(BOM!B132="","",BOM!B132))</f>
        <v/>
      </c>
      <c r="C126" s="5" t="str">
        <f aca="false">IF(OR(BOM!$D132="",BOM!$R132="Cancelled"),"",IF(BOM!C132="","",BOM!C132))</f>
        <v/>
      </c>
      <c r="D126" s="5" t="str">
        <f aca="false">IF(OR(BOM!$D132="",BOM!$R132="Cancelled"),"",IF(BOM!D132="","",BOM!D132))</f>
        <v/>
      </c>
      <c r="E126" s="5" t="str">
        <f aca="false">IF(OR(BOM!$D132="",BOM!$R132="Cancelled"),"",IF(BOM!E132="","",BOM!E132))</f>
        <v/>
      </c>
      <c r="F126" s="5" t="str">
        <f aca="false">IF(OR(BOM!$D132="",BOM!$R132="Cancelled"),"",IF(BOM!F132="","",BOM!F132))</f>
        <v/>
      </c>
      <c r="G126" s="5" t="str">
        <f aca="false">IF(OR(BOM!$D132="",BOM!$R132="Cancelled"),"",IF(BOM!J132="","",BOM!J132))</f>
        <v/>
      </c>
      <c r="H126" s="5" t="str">
        <f aca="false">IF(OR(BOM!$D132="",BOM!$R132="Cancelled"),"",IF(BOM!K132="","",BOM!K132))</f>
        <v/>
      </c>
      <c r="I126" s="5" t="str">
        <f aca="false">IF(OR(BOM!$D132="",BOM!$R132="Cancelled"),"",IF(BOM!M132="","",BOM!M132))</f>
        <v/>
      </c>
      <c r="J126" s="5" t="str">
        <f aca="false">IF(OR(BOM!$D132="",BOM!$R132="Cancelled"),"",IF(OR(BOM!R132="Received",BOM!R132="NSW Purchased"),"Received",IF(BOM!R132="Purchased – Not Received","Ordered",IF(BOM!R132="Finalized – Not Purchased","Design Released","In Design"))))</f>
        <v/>
      </c>
      <c r="K126" s="52" t="str">
        <f aca="false">IF(OR(BOM!$D132="",BOM!$R132="Cancelled"),"",IF(BOM!W132="","",BOM!W132))</f>
        <v/>
      </c>
    </row>
    <row r="127" customFormat="false" ht="15" hidden="false" customHeight="false" outlineLevel="0" collapsed="false">
      <c r="A127" s="5" t="str">
        <f aca="false">IF(OR(BOM!$D133="",BOM!$R133="Cancelled"),"",IF(BOM!A133="","",BOM!A133))</f>
        <v/>
      </c>
      <c r="B127" s="5" t="str">
        <f aca="false">IF(OR(BOM!$D133="",BOM!$R133="Cancelled"),"",IF(BOM!B133="","",BOM!B133))</f>
        <v/>
      </c>
      <c r="C127" s="5" t="str">
        <f aca="false">IF(OR(BOM!$D133="",BOM!$R133="Cancelled"),"",IF(BOM!C133="","",BOM!C133))</f>
        <v/>
      </c>
      <c r="D127" s="5" t="str">
        <f aca="false">IF(OR(BOM!$D133="",BOM!$R133="Cancelled"),"",IF(BOM!D133="","",BOM!D133))</f>
        <v/>
      </c>
      <c r="E127" s="5" t="str">
        <f aca="false">IF(OR(BOM!$D133="",BOM!$R133="Cancelled"),"",IF(BOM!E133="","",BOM!E133))</f>
        <v/>
      </c>
      <c r="F127" s="5" t="str">
        <f aca="false">IF(OR(BOM!$D133="",BOM!$R133="Cancelled"),"",IF(BOM!F133="","",BOM!F133))</f>
        <v/>
      </c>
      <c r="G127" s="5" t="str">
        <f aca="false">IF(OR(BOM!$D133="",BOM!$R133="Cancelled"),"",IF(BOM!J133="","",BOM!J133))</f>
        <v/>
      </c>
      <c r="H127" s="5" t="str">
        <f aca="false">IF(OR(BOM!$D133="",BOM!$R133="Cancelled"),"",IF(BOM!K133="","",BOM!K133))</f>
        <v/>
      </c>
      <c r="I127" s="5" t="str">
        <f aca="false">IF(OR(BOM!$D133="",BOM!$R133="Cancelled"),"",IF(BOM!M133="","",BOM!M133))</f>
        <v/>
      </c>
      <c r="J127" s="5" t="str">
        <f aca="false">IF(OR(BOM!$D133="",BOM!$R133="Cancelled"),"",IF(OR(BOM!R133="Received",BOM!R133="NSW Purchased"),"Received",IF(BOM!R133="Purchased – Not Received","Ordered",IF(BOM!R133="Finalized – Not Purchased","Design Released","In Design"))))</f>
        <v/>
      </c>
      <c r="K127" s="52" t="str">
        <f aca="false">IF(OR(BOM!$D133="",BOM!$R133="Cancelled"),"",IF(BOM!W133="","",BOM!W133))</f>
        <v/>
      </c>
    </row>
    <row r="128" customFormat="false" ht="15" hidden="false" customHeight="false" outlineLevel="0" collapsed="false">
      <c r="A128" s="5" t="str">
        <f aca="false">IF(OR(BOM!$D134="",BOM!$R134="Cancelled"),"",IF(BOM!A134="","",BOM!A134))</f>
        <v/>
      </c>
      <c r="B128" s="5" t="str">
        <f aca="false">IF(OR(BOM!$D134="",BOM!$R134="Cancelled"),"",IF(BOM!B134="","",BOM!B134))</f>
        <v/>
      </c>
      <c r="C128" s="5" t="str">
        <f aca="false">IF(OR(BOM!$D134="",BOM!$R134="Cancelled"),"",IF(BOM!C134="","",BOM!C134))</f>
        <v/>
      </c>
      <c r="D128" s="5" t="str">
        <f aca="false">IF(OR(BOM!$D134="",BOM!$R134="Cancelled"),"",IF(BOM!D134="","",BOM!D134))</f>
        <v/>
      </c>
      <c r="E128" s="5" t="str">
        <f aca="false">IF(OR(BOM!$D134="",BOM!$R134="Cancelled"),"",IF(BOM!E134="","",BOM!E134))</f>
        <v/>
      </c>
      <c r="F128" s="5" t="str">
        <f aca="false">IF(OR(BOM!$D134="",BOM!$R134="Cancelled"),"",IF(BOM!F134="","",BOM!F134))</f>
        <v/>
      </c>
      <c r="G128" s="5" t="str">
        <f aca="false">IF(OR(BOM!$D134="",BOM!$R134="Cancelled"),"",IF(BOM!J134="","",BOM!J134))</f>
        <v/>
      </c>
      <c r="H128" s="5" t="str">
        <f aca="false">IF(OR(BOM!$D134="",BOM!$R134="Cancelled"),"",IF(BOM!K134="","",BOM!K134))</f>
        <v/>
      </c>
      <c r="I128" s="5" t="str">
        <f aca="false">IF(OR(BOM!$D134="",BOM!$R134="Cancelled"),"",IF(BOM!M134="","",BOM!M134))</f>
        <v/>
      </c>
      <c r="J128" s="5" t="str">
        <f aca="false">IF(OR(BOM!$D134="",BOM!$R134="Cancelled"),"",IF(OR(BOM!R134="Received",BOM!R134="NSW Purchased"),"Received",IF(BOM!R134="Purchased – Not Received","Ordered",IF(BOM!R134="Finalized – Not Purchased","Design Released","In Design"))))</f>
        <v/>
      </c>
      <c r="K128" s="52" t="str">
        <f aca="false">IF(OR(BOM!$D134="",BOM!$R134="Cancelled"),"",IF(BOM!W134="","",BOM!W134))</f>
        <v/>
      </c>
    </row>
    <row r="129" customFormat="false" ht="15" hidden="false" customHeight="false" outlineLevel="0" collapsed="false">
      <c r="A129" s="5" t="str">
        <f aca="false">IF(OR(BOM!$D135="",BOM!$R135="Cancelled"),"",IF(BOM!A135="","",BOM!A135))</f>
        <v/>
      </c>
      <c r="B129" s="5" t="str">
        <f aca="false">IF(OR(BOM!$D135="",BOM!$R135="Cancelled"),"",IF(BOM!B135="","",BOM!B135))</f>
        <v/>
      </c>
      <c r="C129" s="5" t="str">
        <f aca="false">IF(OR(BOM!$D135="",BOM!$R135="Cancelled"),"",IF(BOM!C135="","",BOM!C135))</f>
        <v/>
      </c>
      <c r="D129" s="5" t="str">
        <f aca="false">IF(OR(BOM!$D135="",BOM!$R135="Cancelled"),"",IF(BOM!D135="","",BOM!D135))</f>
        <v/>
      </c>
      <c r="E129" s="5" t="str">
        <f aca="false">IF(OR(BOM!$D135="",BOM!$R135="Cancelled"),"",IF(BOM!E135="","",BOM!E135))</f>
        <v/>
      </c>
      <c r="F129" s="5" t="str">
        <f aca="false">IF(OR(BOM!$D135="",BOM!$R135="Cancelled"),"",IF(BOM!F135="","",BOM!F135))</f>
        <v/>
      </c>
      <c r="G129" s="5" t="str">
        <f aca="false">IF(OR(BOM!$D135="",BOM!$R135="Cancelled"),"",IF(BOM!J135="","",BOM!J135))</f>
        <v/>
      </c>
      <c r="H129" s="5" t="str">
        <f aca="false">IF(OR(BOM!$D135="",BOM!$R135="Cancelled"),"",IF(BOM!K135="","",BOM!K135))</f>
        <v/>
      </c>
      <c r="I129" s="5" t="str">
        <f aca="false">IF(OR(BOM!$D135="",BOM!$R135="Cancelled"),"",IF(BOM!M135="","",BOM!M135))</f>
        <v/>
      </c>
      <c r="J129" s="5" t="str">
        <f aca="false">IF(OR(BOM!$D135="",BOM!$R135="Cancelled"),"",IF(OR(BOM!R135="Received",BOM!R135="NSW Purchased"),"Received",IF(BOM!R135="Purchased – Not Received","Ordered",IF(BOM!R135="Finalized – Not Purchased","Design Released","In Design"))))</f>
        <v/>
      </c>
      <c r="K129" s="52" t="str">
        <f aca="false">IF(OR(BOM!$D135="",BOM!$R135="Cancelled"),"",IF(BOM!W135="","",BOM!W135))</f>
        <v/>
      </c>
    </row>
    <row r="130" customFormat="false" ht="15" hidden="false" customHeight="false" outlineLevel="0" collapsed="false">
      <c r="A130" s="5" t="str">
        <f aca="false">IF(OR(BOM!$D136="",BOM!$R136="Cancelled"),"",IF(BOM!A136="","",BOM!A136))</f>
        <v/>
      </c>
      <c r="B130" s="5" t="str">
        <f aca="false">IF(OR(BOM!$D136="",BOM!$R136="Cancelled"),"",IF(BOM!B136="","",BOM!B136))</f>
        <v/>
      </c>
      <c r="C130" s="5" t="str">
        <f aca="false">IF(OR(BOM!$D136="",BOM!$R136="Cancelled"),"",IF(BOM!C136="","",BOM!C136))</f>
        <v/>
      </c>
      <c r="D130" s="5" t="str">
        <f aca="false">IF(OR(BOM!$D136="",BOM!$R136="Cancelled"),"",IF(BOM!D136="","",BOM!D136))</f>
        <v/>
      </c>
      <c r="E130" s="5" t="str">
        <f aca="false">IF(OR(BOM!$D136="",BOM!$R136="Cancelled"),"",IF(BOM!E136="","",BOM!E136))</f>
        <v/>
      </c>
      <c r="F130" s="5" t="str">
        <f aca="false">IF(OR(BOM!$D136="",BOM!$R136="Cancelled"),"",IF(BOM!F136="","",BOM!F136))</f>
        <v/>
      </c>
      <c r="G130" s="5" t="str">
        <f aca="false">IF(OR(BOM!$D136="",BOM!$R136="Cancelled"),"",IF(BOM!J136="","",BOM!J136))</f>
        <v/>
      </c>
      <c r="H130" s="5" t="str">
        <f aca="false">IF(OR(BOM!$D136="",BOM!$R136="Cancelled"),"",IF(BOM!K136="","",BOM!K136))</f>
        <v/>
      </c>
      <c r="I130" s="5" t="str">
        <f aca="false">IF(OR(BOM!$D136="",BOM!$R136="Cancelled"),"",IF(BOM!M136="","",BOM!M136))</f>
        <v/>
      </c>
      <c r="J130" s="5" t="str">
        <f aca="false">IF(OR(BOM!$D136="",BOM!$R136="Cancelled"),"",IF(OR(BOM!R136="Received",BOM!R136="NSW Purchased"),"Received",IF(BOM!R136="Purchased – Not Received","Ordered",IF(BOM!R136="Finalized – Not Purchased","Design Released","In Design"))))</f>
        <v/>
      </c>
      <c r="K130" s="52" t="str">
        <f aca="false">IF(OR(BOM!$D136="",BOM!$R136="Cancelled"),"",IF(BOM!W136="","",BOM!W136))</f>
        <v/>
      </c>
    </row>
    <row r="131" customFormat="false" ht="15" hidden="false" customHeight="false" outlineLevel="0" collapsed="false">
      <c r="A131" s="5" t="str">
        <f aca="false">IF(OR(BOM!$D137="",BOM!$R137="Cancelled"),"",IF(BOM!A137="","",BOM!A137))</f>
        <v/>
      </c>
      <c r="B131" s="5" t="str">
        <f aca="false">IF(OR(BOM!$D137="",BOM!$R137="Cancelled"),"",IF(BOM!B137="","",BOM!B137))</f>
        <v/>
      </c>
      <c r="C131" s="5" t="str">
        <f aca="false">IF(OR(BOM!$D137="",BOM!$R137="Cancelled"),"",IF(BOM!C137="","",BOM!C137))</f>
        <v/>
      </c>
      <c r="D131" s="5" t="str">
        <f aca="false">IF(OR(BOM!$D137="",BOM!$R137="Cancelled"),"",IF(BOM!D137="","",BOM!D137))</f>
        <v/>
      </c>
      <c r="E131" s="5" t="str">
        <f aca="false">IF(OR(BOM!$D137="",BOM!$R137="Cancelled"),"",IF(BOM!E137="","",BOM!E137))</f>
        <v/>
      </c>
      <c r="F131" s="5" t="str">
        <f aca="false">IF(OR(BOM!$D137="",BOM!$R137="Cancelled"),"",IF(BOM!F137="","",BOM!F137))</f>
        <v/>
      </c>
      <c r="G131" s="5" t="str">
        <f aca="false">IF(OR(BOM!$D137="",BOM!$R137="Cancelled"),"",IF(BOM!J137="","",BOM!J137))</f>
        <v/>
      </c>
      <c r="H131" s="5" t="str">
        <f aca="false">IF(OR(BOM!$D137="",BOM!$R137="Cancelled"),"",IF(BOM!K137="","",BOM!K137))</f>
        <v/>
      </c>
      <c r="I131" s="5" t="str">
        <f aca="false">IF(OR(BOM!$D137="",BOM!$R137="Cancelled"),"",IF(BOM!M137="","",BOM!M137))</f>
        <v/>
      </c>
      <c r="J131" s="5" t="str">
        <f aca="false">IF(OR(BOM!$D137="",BOM!$R137="Cancelled"),"",IF(OR(BOM!R137="Received",BOM!R137="NSW Purchased"),"Received",IF(BOM!R137="Purchased – Not Received","Ordered",IF(BOM!R137="Finalized – Not Purchased","Design Released","In Design"))))</f>
        <v/>
      </c>
      <c r="K131" s="52" t="str">
        <f aca="false">IF(OR(BOM!$D137="",BOM!$R137="Cancelled"),"",IF(BOM!W137="","",BOM!W137))</f>
        <v/>
      </c>
    </row>
    <row r="132" customFormat="false" ht="15" hidden="false" customHeight="false" outlineLevel="0" collapsed="false">
      <c r="A132" s="5" t="str">
        <f aca="false">IF(OR(BOM!$D138="",BOM!$R138="Cancelled"),"",IF(BOM!A138="","",BOM!A138))</f>
        <v/>
      </c>
      <c r="B132" s="5" t="str">
        <f aca="false">IF(OR(BOM!$D138="",BOM!$R138="Cancelled"),"",IF(BOM!B138="","",BOM!B138))</f>
        <v/>
      </c>
      <c r="C132" s="5" t="str">
        <f aca="false">IF(OR(BOM!$D138="",BOM!$R138="Cancelled"),"",IF(BOM!C138="","",BOM!C138))</f>
        <v/>
      </c>
      <c r="D132" s="5" t="str">
        <f aca="false">IF(OR(BOM!$D138="",BOM!$R138="Cancelled"),"",IF(BOM!D138="","",BOM!D138))</f>
        <v/>
      </c>
      <c r="E132" s="5" t="str">
        <f aca="false">IF(OR(BOM!$D138="",BOM!$R138="Cancelled"),"",IF(BOM!E138="","",BOM!E138))</f>
        <v/>
      </c>
      <c r="F132" s="5" t="str">
        <f aca="false">IF(OR(BOM!$D138="",BOM!$R138="Cancelled"),"",IF(BOM!F138="","",BOM!F138))</f>
        <v/>
      </c>
      <c r="G132" s="5" t="str">
        <f aca="false">IF(OR(BOM!$D138="",BOM!$R138="Cancelled"),"",IF(BOM!J138="","",BOM!J138))</f>
        <v/>
      </c>
      <c r="H132" s="5" t="str">
        <f aca="false">IF(OR(BOM!$D138="",BOM!$R138="Cancelled"),"",IF(BOM!K138="","",BOM!K138))</f>
        <v/>
      </c>
      <c r="I132" s="5" t="str">
        <f aca="false">IF(OR(BOM!$D138="",BOM!$R138="Cancelled"),"",IF(BOM!M138="","",BOM!M138))</f>
        <v/>
      </c>
      <c r="J132" s="5" t="str">
        <f aca="false">IF(OR(BOM!$D138="",BOM!$R138="Cancelled"),"",IF(OR(BOM!R138="Received",BOM!R138="NSW Purchased"),"Received",IF(BOM!R138="Purchased – Not Received","Ordered",IF(BOM!R138="Finalized – Not Purchased","Design Released","In Design"))))</f>
        <v/>
      </c>
      <c r="K132" s="52" t="str">
        <f aca="false">IF(OR(BOM!$D138="",BOM!$R138="Cancelled"),"",IF(BOM!W138="","",BOM!W138))</f>
        <v/>
      </c>
    </row>
    <row r="133" customFormat="false" ht="15" hidden="false" customHeight="false" outlineLevel="0" collapsed="false">
      <c r="A133" s="5" t="str">
        <f aca="false">IF(OR(BOM!$D139="",BOM!$R139="Cancelled"),"",IF(BOM!A139="","",BOM!A139))</f>
        <v/>
      </c>
      <c r="B133" s="5" t="str">
        <f aca="false">IF(OR(BOM!$D139="",BOM!$R139="Cancelled"),"",IF(BOM!B139="","",BOM!B139))</f>
        <v/>
      </c>
      <c r="C133" s="5" t="str">
        <f aca="false">IF(OR(BOM!$D139="",BOM!$R139="Cancelled"),"",IF(BOM!C139="","",BOM!C139))</f>
        <v/>
      </c>
      <c r="D133" s="5" t="str">
        <f aca="false">IF(OR(BOM!$D139="",BOM!$R139="Cancelled"),"",IF(BOM!D139="","",BOM!D139))</f>
        <v/>
      </c>
      <c r="E133" s="5" t="str">
        <f aca="false">IF(OR(BOM!$D139="",BOM!$R139="Cancelled"),"",IF(BOM!E139="","",BOM!E139))</f>
        <v/>
      </c>
      <c r="F133" s="5" t="str">
        <f aca="false">IF(OR(BOM!$D139="",BOM!$R139="Cancelled"),"",IF(BOM!F139="","",BOM!F139))</f>
        <v/>
      </c>
      <c r="G133" s="5" t="str">
        <f aca="false">IF(OR(BOM!$D139="",BOM!$R139="Cancelled"),"",IF(BOM!J139="","",BOM!J139))</f>
        <v/>
      </c>
      <c r="H133" s="5" t="str">
        <f aca="false">IF(OR(BOM!$D139="",BOM!$R139="Cancelled"),"",IF(BOM!K139="","",BOM!K139))</f>
        <v/>
      </c>
      <c r="I133" s="5" t="str">
        <f aca="false">IF(OR(BOM!$D139="",BOM!$R139="Cancelled"),"",IF(BOM!M139="","",BOM!M139))</f>
        <v/>
      </c>
      <c r="J133" s="5" t="str">
        <f aca="false">IF(OR(BOM!$D139="",BOM!$R139="Cancelled"),"",IF(OR(BOM!R139="Received",BOM!R139="NSW Purchased"),"Received",IF(BOM!R139="Purchased – Not Received","Ordered",IF(BOM!R139="Finalized – Not Purchased","Design Released","In Design"))))</f>
        <v/>
      </c>
      <c r="K133" s="52" t="str">
        <f aca="false">IF(OR(BOM!$D139="",BOM!$R139="Cancelled"),"",IF(BOM!W139="","",BOM!W139))</f>
        <v/>
      </c>
    </row>
    <row r="134" customFormat="false" ht="15" hidden="false" customHeight="false" outlineLevel="0" collapsed="false">
      <c r="A134" s="5" t="str">
        <f aca="false">IF(OR(BOM!$D140="",BOM!$R140="Cancelled"),"",IF(BOM!A140="","",BOM!A140))</f>
        <v/>
      </c>
      <c r="B134" s="5" t="str">
        <f aca="false">IF(OR(BOM!$D140="",BOM!$R140="Cancelled"),"",IF(BOM!B140="","",BOM!B140))</f>
        <v/>
      </c>
      <c r="C134" s="5" t="str">
        <f aca="false">IF(OR(BOM!$D140="",BOM!$R140="Cancelled"),"",IF(BOM!C140="","",BOM!C140))</f>
        <v/>
      </c>
      <c r="D134" s="5" t="str">
        <f aca="false">IF(OR(BOM!$D140="",BOM!$R140="Cancelled"),"",IF(BOM!D140="","",BOM!D140))</f>
        <v/>
      </c>
      <c r="E134" s="5" t="str">
        <f aca="false">IF(OR(BOM!$D140="",BOM!$R140="Cancelled"),"",IF(BOM!E140="","",BOM!E140))</f>
        <v/>
      </c>
      <c r="F134" s="5" t="str">
        <f aca="false">IF(OR(BOM!$D140="",BOM!$R140="Cancelled"),"",IF(BOM!F140="","",BOM!F140))</f>
        <v/>
      </c>
      <c r="G134" s="5" t="str">
        <f aca="false">IF(OR(BOM!$D140="",BOM!$R140="Cancelled"),"",IF(BOM!J140="","",BOM!J140))</f>
        <v/>
      </c>
      <c r="H134" s="5" t="str">
        <f aca="false">IF(OR(BOM!$D140="",BOM!$R140="Cancelled"),"",IF(BOM!K140="","",BOM!K140))</f>
        <v/>
      </c>
      <c r="I134" s="5" t="str">
        <f aca="false">IF(OR(BOM!$D140="",BOM!$R140="Cancelled"),"",IF(BOM!M140="","",BOM!M140))</f>
        <v/>
      </c>
      <c r="J134" s="5" t="str">
        <f aca="false">IF(OR(BOM!$D140="",BOM!$R140="Cancelled"),"",IF(OR(BOM!R140="Received",BOM!R140="NSW Purchased"),"Received",IF(BOM!R140="Purchased – Not Received","Ordered",IF(BOM!R140="Finalized – Not Purchased","Design Released","In Design"))))</f>
        <v/>
      </c>
      <c r="K134" s="52" t="str">
        <f aca="false">IF(OR(BOM!$D140="",BOM!$R140="Cancelled"),"",IF(BOM!W140="","",BOM!W140))</f>
        <v/>
      </c>
    </row>
    <row r="135" customFormat="false" ht="15" hidden="false" customHeight="false" outlineLevel="0" collapsed="false">
      <c r="A135" s="5" t="str">
        <f aca="false">IF(OR(BOM!$D141="",BOM!$R141="Cancelled"),"",IF(BOM!A141="","",BOM!A141))</f>
        <v/>
      </c>
      <c r="B135" s="5" t="str">
        <f aca="false">IF(OR(BOM!$D141="",BOM!$R141="Cancelled"),"",IF(BOM!B141="","",BOM!B141))</f>
        <v/>
      </c>
      <c r="C135" s="5" t="str">
        <f aca="false">IF(OR(BOM!$D141="",BOM!$R141="Cancelled"),"",IF(BOM!C141="","",BOM!C141))</f>
        <v/>
      </c>
      <c r="D135" s="5" t="str">
        <f aca="false">IF(OR(BOM!$D141="",BOM!$R141="Cancelled"),"",IF(BOM!D141="","",BOM!D141))</f>
        <v/>
      </c>
      <c r="E135" s="5" t="str">
        <f aca="false">IF(OR(BOM!$D141="",BOM!$R141="Cancelled"),"",IF(BOM!E141="","",BOM!E141))</f>
        <v/>
      </c>
      <c r="F135" s="5" t="str">
        <f aca="false">IF(OR(BOM!$D141="",BOM!$R141="Cancelled"),"",IF(BOM!F141="","",BOM!F141))</f>
        <v/>
      </c>
      <c r="G135" s="5" t="str">
        <f aca="false">IF(OR(BOM!$D141="",BOM!$R141="Cancelled"),"",IF(BOM!J141="","",BOM!J141))</f>
        <v/>
      </c>
      <c r="H135" s="5" t="str">
        <f aca="false">IF(OR(BOM!$D141="",BOM!$R141="Cancelled"),"",IF(BOM!K141="","",BOM!K141))</f>
        <v/>
      </c>
      <c r="I135" s="5" t="str">
        <f aca="false">IF(OR(BOM!$D141="",BOM!$R141="Cancelled"),"",IF(BOM!M141="","",BOM!M141))</f>
        <v/>
      </c>
      <c r="J135" s="5" t="str">
        <f aca="false">IF(OR(BOM!$D141="",BOM!$R141="Cancelled"),"",IF(OR(BOM!R141="Received",BOM!R141="NSW Purchased"),"Received",IF(BOM!R141="Purchased – Not Received","Ordered",IF(BOM!R141="Finalized – Not Purchased","Design Released","In Design"))))</f>
        <v/>
      </c>
      <c r="K135" s="52" t="str">
        <f aca="false">IF(OR(BOM!$D141="",BOM!$R141="Cancelled"),"",IF(BOM!W141="","",BOM!W141))</f>
        <v/>
      </c>
    </row>
    <row r="136" customFormat="false" ht="15" hidden="false" customHeight="false" outlineLevel="0" collapsed="false">
      <c r="A136" s="5" t="str">
        <f aca="false">IF(OR(BOM!$D142="",BOM!$R142="Cancelled"),"",IF(BOM!A142="","",BOM!A142))</f>
        <v/>
      </c>
      <c r="B136" s="5" t="str">
        <f aca="false">IF(OR(BOM!$D142="",BOM!$R142="Cancelled"),"",IF(BOM!B142="","",BOM!B142))</f>
        <v/>
      </c>
      <c r="C136" s="5" t="str">
        <f aca="false">IF(OR(BOM!$D142="",BOM!$R142="Cancelled"),"",IF(BOM!C142="","",BOM!C142))</f>
        <v/>
      </c>
      <c r="D136" s="5" t="str">
        <f aca="false">IF(OR(BOM!$D142="",BOM!$R142="Cancelled"),"",IF(BOM!D142="","",BOM!D142))</f>
        <v/>
      </c>
      <c r="E136" s="5" t="str">
        <f aca="false">IF(OR(BOM!$D142="",BOM!$R142="Cancelled"),"",IF(BOM!E142="","",BOM!E142))</f>
        <v/>
      </c>
      <c r="F136" s="5" t="str">
        <f aca="false">IF(OR(BOM!$D142="",BOM!$R142="Cancelled"),"",IF(BOM!F142="","",BOM!F142))</f>
        <v/>
      </c>
      <c r="G136" s="5" t="str">
        <f aca="false">IF(OR(BOM!$D142="",BOM!$R142="Cancelled"),"",IF(BOM!J142="","",BOM!J142))</f>
        <v/>
      </c>
      <c r="H136" s="5" t="str">
        <f aca="false">IF(OR(BOM!$D142="",BOM!$R142="Cancelled"),"",IF(BOM!K142="","",BOM!K142))</f>
        <v/>
      </c>
      <c r="I136" s="5" t="str">
        <f aca="false">IF(OR(BOM!$D142="",BOM!$R142="Cancelled"),"",IF(BOM!M142="","",BOM!M142))</f>
        <v/>
      </c>
      <c r="J136" s="5" t="str">
        <f aca="false">IF(OR(BOM!$D142="",BOM!$R142="Cancelled"),"",IF(OR(BOM!R142="Received",BOM!R142="NSW Purchased"),"Received",IF(BOM!R142="Purchased – Not Received","Ordered",IF(BOM!R142="Finalized – Not Purchased","Design Released","In Design"))))</f>
        <v/>
      </c>
      <c r="K136" s="52" t="str">
        <f aca="false">IF(OR(BOM!$D142="",BOM!$R142="Cancelled"),"",IF(BOM!W142="","",BOM!W142))</f>
        <v/>
      </c>
    </row>
    <row r="137" customFormat="false" ht="15" hidden="false" customHeight="false" outlineLevel="0" collapsed="false">
      <c r="A137" s="5" t="str">
        <f aca="false">IF(OR(BOM!$D143="",BOM!$R143="Cancelled"),"",IF(BOM!A143="","",BOM!A143))</f>
        <v/>
      </c>
      <c r="B137" s="5" t="str">
        <f aca="false">IF(OR(BOM!$D143="",BOM!$R143="Cancelled"),"",IF(BOM!B143="","",BOM!B143))</f>
        <v/>
      </c>
      <c r="C137" s="5" t="str">
        <f aca="false">IF(OR(BOM!$D143="",BOM!$R143="Cancelled"),"",IF(BOM!C143="","",BOM!C143))</f>
        <v/>
      </c>
      <c r="D137" s="5" t="str">
        <f aca="false">IF(OR(BOM!$D143="",BOM!$R143="Cancelled"),"",IF(BOM!D143="","",BOM!D143))</f>
        <v/>
      </c>
      <c r="E137" s="5" t="str">
        <f aca="false">IF(OR(BOM!$D143="",BOM!$R143="Cancelled"),"",IF(BOM!E143="","",BOM!E143))</f>
        <v/>
      </c>
      <c r="F137" s="5" t="str">
        <f aca="false">IF(OR(BOM!$D143="",BOM!$R143="Cancelled"),"",IF(BOM!F143="","",BOM!F143))</f>
        <v/>
      </c>
      <c r="G137" s="5" t="str">
        <f aca="false">IF(OR(BOM!$D143="",BOM!$R143="Cancelled"),"",IF(BOM!J143="","",BOM!J143))</f>
        <v/>
      </c>
      <c r="H137" s="5" t="str">
        <f aca="false">IF(OR(BOM!$D143="",BOM!$R143="Cancelled"),"",IF(BOM!K143="","",BOM!K143))</f>
        <v/>
      </c>
      <c r="I137" s="5" t="str">
        <f aca="false">IF(OR(BOM!$D143="",BOM!$R143="Cancelled"),"",IF(BOM!M143="","",BOM!M143))</f>
        <v/>
      </c>
      <c r="J137" s="5" t="str">
        <f aca="false">IF(OR(BOM!$D143="",BOM!$R143="Cancelled"),"",IF(OR(BOM!R143="Received",BOM!R143="NSW Purchased"),"Received",IF(BOM!R143="Purchased – Not Received","Ordered",IF(BOM!R143="Finalized – Not Purchased","Design Released","In Design"))))</f>
        <v/>
      </c>
      <c r="K137" s="52" t="str">
        <f aca="false">IF(OR(BOM!$D143="",BOM!$R143="Cancelled"),"",IF(BOM!W143="","",BOM!W143))</f>
        <v/>
      </c>
    </row>
    <row r="138" customFormat="false" ht="15" hidden="false" customHeight="false" outlineLevel="0" collapsed="false">
      <c r="A138" s="5" t="str">
        <f aca="false">IF(OR(BOM!$D144="",BOM!$R144="Cancelled"),"",IF(BOM!A144="","",BOM!A144))</f>
        <v/>
      </c>
      <c r="B138" s="5" t="str">
        <f aca="false">IF(OR(BOM!$D144="",BOM!$R144="Cancelled"),"",IF(BOM!B144="","",BOM!B144))</f>
        <v/>
      </c>
      <c r="C138" s="5" t="str">
        <f aca="false">IF(OR(BOM!$D144="",BOM!$R144="Cancelled"),"",IF(BOM!C144="","",BOM!C144))</f>
        <v/>
      </c>
      <c r="D138" s="5" t="str">
        <f aca="false">IF(OR(BOM!$D144="",BOM!$R144="Cancelled"),"",IF(BOM!D144="","",BOM!D144))</f>
        <v/>
      </c>
      <c r="E138" s="5" t="str">
        <f aca="false">IF(OR(BOM!$D144="",BOM!$R144="Cancelled"),"",IF(BOM!E144="","",BOM!E144))</f>
        <v/>
      </c>
      <c r="F138" s="5" t="str">
        <f aca="false">IF(OR(BOM!$D144="",BOM!$R144="Cancelled"),"",IF(BOM!F144="","",BOM!F144))</f>
        <v/>
      </c>
      <c r="G138" s="5" t="str">
        <f aca="false">IF(OR(BOM!$D144="",BOM!$R144="Cancelled"),"",IF(BOM!J144="","",BOM!J144))</f>
        <v/>
      </c>
      <c r="H138" s="5" t="str">
        <f aca="false">IF(OR(BOM!$D144="",BOM!$R144="Cancelled"),"",IF(BOM!K144="","",BOM!K144))</f>
        <v/>
      </c>
      <c r="I138" s="5" t="str">
        <f aca="false">IF(OR(BOM!$D144="",BOM!$R144="Cancelled"),"",IF(BOM!M144="","",BOM!M144))</f>
        <v/>
      </c>
      <c r="J138" s="5" t="str">
        <f aca="false">IF(OR(BOM!$D144="",BOM!$R144="Cancelled"),"",IF(OR(BOM!R144="Received",BOM!R144="NSW Purchased"),"Received",IF(BOM!R144="Purchased – Not Received","Ordered",IF(BOM!R144="Finalized – Not Purchased","Design Released","In Design"))))</f>
        <v/>
      </c>
      <c r="K138" s="52" t="str">
        <f aca="false">IF(OR(BOM!$D144="",BOM!$R144="Cancelled"),"",IF(BOM!W144="","",BOM!W144))</f>
        <v/>
      </c>
    </row>
    <row r="139" customFormat="false" ht="15" hidden="false" customHeight="false" outlineLevel="0" collapsed="false">
      <c r="A139" s="5" t="str">
        <f aca="false">IF(OR(BOM!$D145="",BOM!$R145="Cancelled"),"",IF(BOM!A145="","",BOM!A145))</f>
        <v/>
      </c>
      <c r="B139" s="5" t="str">
        <f aca="false">IF(OR(BOM!$D145="",BOM!$R145="Cancelled"),"",IF(BOM!B145="","",BOM!B145))</f>
        <v/>
      </c>
      <c r="C139" s="5" t="str">
        <f aca="false">IF(OR(BOM!$D145="",BOM!$R145="Cancelled"),"",IF(BOM!C145="","",BOM!C145))</f>
        <v/>
      </c>
      <c r="D139" s="5" t="str">
        <f aca="false">IF(OR(BOM!$D145="",BOM!$R145="Cancelled"),"",IF(BOM!D145="","",BOM!D145))</f>
        <v/>
      </c>
      <c r="E139" s="5" t="str">
        <f aca="false">IF(OR(BOM!$D145="",BOM!$R145="Cancelled"),"",IF(BOM!E145="","",BOM!E145))</f>
        <v/>
      </c>
      <c r="F139" s="5" t="str">
        <f aca="false">IF(OR(BOM!$D145="",BOM!$R145="Cancelled"),"",IF(BOM!F145="","",BOM!F145))</f>
        <v/>
      </c>
      <c r="G139" s="5" t="str">
        <f aca="false">IF(OR(BOM!$D145="",BOM!$R145="Cancelled"),"",IF(BOM!J145="","",BOM!J145))</f>
        <v/>
      </c>
      <c r="H139" s="5" t="str">
        <f aca="false">IF(OR(BOM!$D145="",BOM!$R145="Cancelled"),"",IF(BOM!K145="","",BOM!K145))</f>
        <v/>
      </c>
      <c r="I139" s="5" t="str">
        <f aca="false">IF(OR(BOM!$D145="",BOM!$R145="Cancelled"),"",IF(BOM!M145="","",BOM!M145))</f>
        <v/>
      </c>
      <c r="J139" s="5" t="str">
        <f aca="false">IF(OR(BOM!$D145="",BOM!$R145="Cancelled"),"",IF(OR(BOM!R145="Received",BOM!R145="NSW Purchased"),"Received",IF(BOM!R145="Purchased – Not Received","Ordered",IF(BOM!R145="Finalized – Not Purchased","Design Released","In Design"))))</f>
        <v/>
      </c>
      <c r="K139" s="52" t="str">
        <f aca="false">IF(OR(BOM!$D145="",BOM!$R145="Cancelled"),"",IF(BOM!W145="","",BOM!W145))</f>
        <v/>
      </c>
    </row>
    <row r="140" customFormat="false" ht="15" hidden="false" customHeight="false" outlineLevel="0" collapsed="false">
      <c r="A140" s="5" t="str">
        <f aca="false">IF(OR(BOM!$D146="",BOM!$R146="Cancelled"),"",IF(BOM!A146="","",BOM!A146))</f>
        <v/>
      </c>
      <c r="B140" s="5" t="str">
        <f aca="false">IF(OR(BOM!$D146="",BOM!$R146="Cancelled"),"",IF(BOM!B146="","",BOM!B146))</f>
        <v/>
      </c>
      <c r="C140" s="5" t="str">
        <f aca="false">IF(OR(BOM!$D146="",BOM!$R146="Cancelled"),"",IF(BOM!C146="","",BOM!C146))</f>
        <v/>
      </c>
      <c r="D140" s="5" t="str">
        <f aca="false">IF(OR(BOM!$D146="",BOM!$R146="Cancelled"),"",IF(BOM!D146="","",BOM!D146))</f>
        <v/>
      </c>
      <c r="E140" s="5" t="str">
        <f aca="false">IF(OR(BOM!$D146="",BOM!$R146="Cancelled"),"",IF(BOM!E146="","",BOM!E146))</f>
        <v/>
      </c>
      <c r="F140" s="5" t="str">
        <f aca="false">IF(OR(BOM!$D146="",BOM!$R146="Cancelled"),"",IF(BOM!F146="","",BOM!F146))</f>
        <v/>
      </c>
      <c r="G140" s="5" t="str">
        <f aca="false">IF(OR(BOM!$D146="",BOM!$R146="Cancelled"),"",IF(BOM!J146="","",BOM!J146))</f>
        <v/>
      </c>
      <c r="H140" s="5" t="str">
        <f aca="false">IF(OR(BOM!$D146="",BOM!$R146="Cancelled"),"",IF(BOM!K146="","",BOM!K146))</f>
        <v/>
      </c>
      <c r="I140" s="5" t="str">
        <f aca="false">IF(OR(BOM!$D146="",BOM!$R146="Cancelled"),"",IF(BOM!M146="","",BOM!M146))</f>
        <v/>
      </c>
      <c r="J140" s="5" t="str">
        <f aca="false">IF(OR(BOM!$D146="",BOM!$R146="Cancelled"),"",IF(OR(BOM!R146="Received",BOM!R146="NSW Purchased"),"Received",IF(BOM!R146="Purchased – Not Received","Ordered",IF(BOM!R146="Finalized – Not Purchased","Design Released","In Design"))))</f>
        <v/>
      </c>
      <c r="K140" s="52" t="str">
        <f aca="false">IF(OR(BOM!$D146="",BOM!$R146="Cancelled"),"",IF(BOM!W146="","",BOM!W146))</f>
        <v/>
      </c>
    </row>
    <row r="141" customFormat="false" ht="15" hidden="false" customHeight="false" outlineLevel="0" collapsed="false">
      <c r="A141" s="5" t="str">
        <f aca="false">IF(OR(BOM!$D147="",BOM!$R147="Cancelled"),"",IF(BOM!A147="","",BOM!A147))</f>
        <v/>
      </c>
      <c r="B141" s="5" t="str">
        <f aca="false">IF(OR(BOM!$D147="",BOM!$R147="Cancelled"),"",IF(BOM!B147="","",BOM!B147))</f>
        <v/>
      </c>
      <c r="C141" s="5" t="str">
        <f aca="false">IF(OR(BOM!$D147="",BOM!$R147="Cancelled"),"",IF(BOM!C147="","",BOM!C147))</f>
        <v/>
      </c>
      <c r="D141" s="5" t="str">
        <f aca="false">IF(OR(BOM!$D147="",BOM!$R147="Cancelled"),"",IF(BOM!D147="","",BOM!D147))</f>
        <v/>
      </c>
      <c r="E141" s="5" t="str">
        <f aca="false">IF(OR(BOM!$D147="",BOM!$R147="Cancelled"),"",IF(BOM!E147="","",BOM!E147))</f>
        <v/>
      </c>
      <c r="F141" s="5" t="str">
        <f aca="false">IF(OR(BOM!$D147="",BOM!$R147="Cancelled"),"",IF(BOM!F147="","",BOM!F147))</f>
        <v/>
      </c>
      <c r="G141" s="5" t="str">
        <f aca="false">IF(OR(BOM!$D147="",BOM!$R147="Cancelled"),"",IF(BOM!J147="","",BOM!J147))</f>
        <v/>
      </c>
      <c r="H141" s="5" t="str">
        <f aca="false">IF(OR(BOM!$D147="",BOM!$R147="Cancelled"),"",IF(BOM!K147="","",BOM!K147))</f>
        <v/>
      </c>
      <c r="I141" s="5" t="str">
        <f aca="false">IF(OR(BOM!$D147="",BOM!$R147="Cancelled"),"",IF(BOM!M147="","",BOM!M147))</f>
        <v/>
      </c>
      <c r="J141" s="5" t="str">
        <f aca="false">IF(OR(BOM!$D147="",BOM!$R147="Cancelled"),"",IF(OR(BOM!R147="Received",BOM!R147="NSW Purchased"),"Received",IF(BOM!R147="Purchased – Not Received","Ordered",IF(BOM!R147="Finalized – Not Purchased","Design Released","In Design"))))</f>
        <v/>
      </c>
      <c r="K141" s="52" t="str">
        <f aca="false">IF(OR(BOM!$D147="",BOM!$R147="Cancelled"),"",IF(BOM!W147="","",BOM!W147))</f>
        <v/>
      </c>
    </row>
    <row r="142" customFormat="false" ht="15" hidden="false" customHeight="false" outlineLevel="0" collapsed="false">
      <c r="A142" s="5" t="str">
        <f aca="false">IF(OR(BOM!$D148="",BOM!$R148="Cancelled"),"",IF(BOM!A148="","",BOM!A148))</f>
        <v/>
      </c>
      <c r="B142" s="5" t="str">
        <f aca="false">IF(OR(BOM!$D148="",BOM!$R148="Cancelled"),"",IF(BOM!B148="","",BOM!B148))</f>
        <v/>
      </c>
      <c r="C142" s="5" t="str">
        <f aca="false">IF(OR(BOM!$D148="",BOM!$R148="Cancelled"),"",IF(BOM!C148="","",BOM!C148))</f>
        <v/>
      </c>
      <c r="D142" s="5" t="str">
        <f aca="false">IF(OR(BOM!$D148="",BOM!$R148="Cancelled"),"",IF(BOM!D148="","",BOM!D148))</f>
        <v/>
      </c>
      <c r="E142" s="5" t="str">
        <f aca="false">IF(OR(BOM!$D148="",BOM!$R148="Cancelled"),"",IF(BOM!E148="","",BOM!E148))</f>
        <v/>
      </c>
      <c r="F142" s="5" t="str">
        <f aca="false">IF(OR(BOM!$D148="",BOM!$R148="Cancelled"),"",IF(BOM!F148="","",BOM!F148))</f>
        <v/>
      </c>
      <c r="G142" s="5" t="str">
        <f aca="false">IF(OR(BOM!$D148="",BOM!$R148="Cancelled"),"",IF(BOM!J148="","",BOM!J148))</f>
        <v/>
      </c>
      <c r="H142" s="5" t="str">
        <f aca="false">IF(OR(BOM!$D148="",BOM!$R148="Cancelled"),"",IF(BOM!K148="","",BOM!K148))</f>
        <v/>
      </c>
      <c r="I142" s="5" t="str">
        <f aca="false">IF(OR(BOM!$D148="",BOM!$R148="Cancelled"),"",IF(BOM!M148="","",BOM!M148))</f>
        <v/>
      </c>
      <c r="J142" s="5" t="str">
        <f aca="false">IF(OR(BOM!$D148="",BOM!$R148="Cancelled"),"",IF(OR(BOM!R148="Received",BOM!R148="NSW Purchased"),"Received",IF(BOM!R148="Purchased – Not Received","Ordered",IF(BOM!R148="Finalized – Not Purchased","Design Released","In Design"))))</f>
        <v/>
      </c>
      <c r="K142" s="52" t="str">
        <f aca="false">IF(OR(BOM!$D148="",BOM!$R148="Cancelled"),"",IF(BOM!W148="","",BOM!W148))</f>
        <v/>
      </c>
    </row>
    <row r="143" customFormat="false" ht="15" hidden="false" customHeight="false" outlineLevel="0" collapsed="false">
      <c r="A143" s="5" t="str">
        <f aca="false">IF(OR(BOM!$D149="",BOM!$R149="Cancelled"),"",IF(BOM!A149="","",BOM!A149))</f>
        <v/>
      </c>
      <c r="B143" s="5" t="str">
        <f aca="false">IF(OR(BOM!$D149="",BOM!$R149="Cancelled"),"",IF(BOM!B149="","",BOM!B149))</f>
        <v/>
      </c>
      <c r="C143" s="5" t="str">
        <f aca="false">IF(OR(BOM!$D149="",BOM!$R149="Cancelled"),"",IF(BOM!C149="","",BOM!C149))</f>
        <v/>
      </c>
      <c r="D143" s="5" t="str">
        <f aca="false">IF(OR(BOM!$D149="",BOM!$R149="Cancelled"),"",IF(BOM!D149="","",BOM!D149))</f>
        <v/>
      </c>
      <c r="E143" s="5" t="str">
        <f aca="false">IF(OR(BOM!$D149="",BOM!$R149="Cancelled"),"",IF(BOM!E149="","",BOM!E149))</f>
        <v/>
      </c>
      <c r="F143" s="5" t="str">
        <f aca="false">IF(OR(BOM!$D149="",BOM!$R149="Cancelled"),"",IF(BOM!F149="","",BOM!F149))</f>
        <v/>
      </c>
      <c r="G143" s="5" t="str">
        <f aca="false">IF(OR(BOM!$D149="",BOM!$R149="Cancelled"),"",IF(BOM!J149="","",BOM!J149))</f>
        <v/>
      </c>
      <c r="H143" s="5" t="str">
        <f aca="false">IF(OR(BOM!$D149="",BOM!$R149="Cancelled"),"",IF(BOM!K149="","",BOM!K149))</f>
        <v/>
      </c>
      <c r="I143" s="5" t="str">
        <f aca="false">IF(OR(BOM!$D149="",BOM!$R149="Cancelled"),"",IF(BOM!M149="","",BOM!M149))</f>
        <v/>
      </c>
      <c r="J143" s="5" t="str">
        <f aca="false">IF(OR(BOM!$D149="",BOM!$R149="Cancelled"),"",IF(OR(BOM!R149="Received",BOM!R149="NSW Purchased"),"Received",IF(BOM!R149="Purchased – Not Received","Ordered",IF(BOM!R149="Finalized – Not Purchased","Design Released","In Design"))))</f>
        <v/>
      </c>
      <c r="K143" s="52" t="str">
        <f aca="false">IF(OR(BOM!$D149="",BOM!$R149="Cancelled"),"",IF(BOM!W149="","",BOM!W149))</f>
        <v/>
      </c>
    </row>
    <row r="144" customFormat="false" ht="15" hidden="false" customHeight="false" outlineLevel="0" collapsed="false">
      <c r="A144" s="5" t="str">
        <f aca="false">IF(OR(BOM!$D150="",BOM!$R150="Cancelled"),"",IF(BOM!A150="","",BOM!A150))</f>
        <v/>
      </c>
      <c r="B144" s="5" t="str">
        <f aca="false">IF(OR(BOM!$D150="",BOM!$R150="Cancelled"),"",IF(BOM!B150="","",BOM!B150))</f>
        <v/>
      </c>
      <c r="C144" s="5" t="str">
        <f aca="false">IF(OR(BOM!$D150="",BOM!$R150="Cancelled"),"",IF(BOM!C150="","",BOM!C150))</f>
        <v/>
      </c>
      <c r="D144" s="5" t="str">
        <f aca="false">IF(OR(BOM!$D150="",BOM!$R150="Cancelled"),"",IF(BOM!D150="","",BOM!D150))</f>
        <v/>
      </c>
      <c r="E144" s="5" t="str">
        <f aca="false">IF(OR(BOM!$D150="",BOM!$R150="Cancelled"),"",IF(BOM!E150="","",BOM!E150))</f>
        <v/>
      </c>
      <c r="F144" s="5" t="str">
        <f aca="false">IF(OR(BOM!$D150="",BOM!$R150="Cancelled"),"",IF(BOM!F150="","",BOM!F150))</f>
        <v/>
      </c>
      <c r="G144" s="5" t="str">
        <f aca="false">IF(OR(BOM!$D150="",BOM!$R150="Cancelled"),"",IF(BOM!J150="","",BOM!J150))</f>
        <v/>
      </c>
      <c r="H144" s="5" t="str">
        <f aca="false">IF(OR(BOM!$D150="",BOM!$R150="Cancelled"),"",IF(BOM!K150="","",BOM!K150))</f>
        <v/>
      </c>
      <c r="I144" s="5" t="str">
        <f aca="false">IF(OR(BOM!$D150="",BOM!$R150="Cancelled"),"",IF(BOM!M150="","",BOM!M150))</f>
        <v/>
      </c>
      <c r="J144" s="5" t="str">
        <f aca="false">IF(OR(BOM!$D150="",BOM!$R150="Cancelled"),"",IF(OR(BOM!R150="Received",BOM!R150="NSW Purchased"),"Received",IF(BOM!R150="Purchased – Not Received","Ordered",IF(BOM!R150="Finalized – Not Purchased","Design Released","In Design"))))</f>
        <v/>
      </c>
      <c r="K144" s="52" t="str">
        <f aca="false">IF(OR(BOM!$D150="",BOM!$R150="Cancelled"),"",IF(BOM!W150="","",BOM!W150))</f>
        <v/>
      </c>
    </row>
    <row r="145" customFormat="false" ht="15" hidden="false" customHeight="false" outlineLevel="0" collapsed="false">
      <c r="A145" s="5" t="str">
        <f aca="false">IF(OR(BOM!$D151="",BOM!$R151="Cancelled"),"",IF(BOM!A151="","",BOM!A151))</f>
        <v/>
      </c>
      <c r="B145" s="5" t="str">
        <f aca="false">IF(OR(BOM!$D151="",BOM!$R151="Cancelled"),"",IF(BOM!B151="","",BOM!B151))</f>
        <v/>
      </c>
      <c r="C145" s="5" t="str">
        <f aca="false">IF(OR(BOM!$D151="",BOM!$R151="Cancelled"),"",IF(BOM!C151="","",BOM!C151))</f>
        <v/>
      </c>
      <c r="D145" s="5" t="str">
        <f aca="false">IF(OR(BOM!$D151="",BOM!$R151="Cancelled"),"",IF(BOM!D151="","",BOM!D151))</f>
        <v/>
      </c>
      <c r="E145" s="5" t="str">
        <f aca="false">IF(OR(BOM!$D151="",BOM!$R151="Cancelled"),"",IF(BOM!E151="","",BOM!E151))</f>
        <v/>
      </c>
      <c r="F145" s="5" t="str">
        <f aca="false">IF(OR(BOM!$D151="",BOM!$R151="Cancelled"),"",IF(BOM!F151="","",BOM!F151))</f>
        <v/>
      </c>
      <c r="G145" s="5" t="str">
        <f aca="false">IF(OR(BOM!$D151="",BOM!$R151="Cancelled"),"",IF(BOM!J151="","",BOM!J151))</f>
        <v/>
      </c>
      <c r="H145" s="5" t="str">
        <f aca="false">IF(OR(BOM!$D151="",BOM!$R151="Cancelled"),"",IF(BOM!K151="","",BOM!K151))</f>
        <v/>
      </c>
      <c r="I145" s="5" t="str">
        <f aca="false">IF(OR(BOM!$D151="",BOM!$R151="Cancelled"),"",IF(BOM!M151="","",BOM!M151))</f>
        <v/>
      </c>
      <c r="J145" s="5" t="str">
        <f aca="false">IF(OR(BOM!$D151="",BOM!$R151="Cancelled"),"",IF(OR(BOM!R151="Received",BOM!R151="NSW Purchased"),"Received",IF(BOM!R151="Purchased – Not Received","Ordered",IF(BOM!R151="Finalized – Not Purchased","Design Released","In Design"))))</f>
        <v/>
      </c>
      <c r="K145" s="52" t="str">
        <f aca="false">IF(OR(BOM!$D151="",BOM!$R151="Cancelled"),"",IF(BOM!W151="","",BOM!W151))</f>
        <v/>
      </c>
    </row>
    <row r="146" customFormat="false" ht="15" hidden="false" customHeight="false" outlineLevel="0" collapsed="false">
      <c r="A146" s="5" t="str">
        <f aca="false">IF(OR(BOM!$D152="",BOM!$R152="Cancelled"),"",IF(BOM!A152="","",BOM!A152))</f>
        <v/>
      </c>
      <c r="B146" s="5" t="str">
        <f aca="false">IF(OR(BOM!$D152="",BOM!$R152="Cancelled"),"",IF(BOM!B152="","",BOM!B152))</f>
        <v/>
      </c>
      <c r="C146" s="5" t="str">
        <f aca="false">IF(OR(BOM!$D152="",BOM!$R152="Cancelled"),"",IF(BOM!C152="","",BOM!C152))</f>
        <v/>
      </c>
      <c r="D146" s="5" t="str">
        <f aca="false">IF(OR(BOM!$D152="",BOM!$R152="Cancelled"),"",IF(BOM!D152="","",BOM!D152))</f>
        <v/>
      </c>
      <c r="E146" s="5" t="str">
        <f aca="false">IF(OR(BOM!$D152="",BOM!$R152="Cancelled"),"",IF(BOM!E152="","",BOM!E152))</f>
        <v/>
      </c>
      <c r="F146" s="5" t="str">
        <f aca="false">IF(OR(BOM!$D152="",BOM!$R152="Cancelled"),"",IF(BOM!F152="","",BOM!F152))</f>
        <v/>
      </c>
      <c r="G146" s="5" t="str">
        <f aca="false">IF(OR(BOM!$D152="",BOM!$R152="Cancelled"),"",IF(BOM!J152="","",BOM!J152))</f>
        <v/>
      </c>
      <c r="H146" s="5" t="str">
        <f aca="false">IF(OR(BOM!$D152="",BOM!$R152="Cancelled"),"",IF(BOM!K152="","",BOM!K152))</f>
        <v/>
      </c>
      <c r="I146" s="5" t="str">
        <f aca="false">IF(OR(BOM!$D152="",BOM!$R152="Cancelled"),"",IF(BOM!M152="","",BOM!M152))</f>
        <v/>
      </c>
      <c r="J146" s="5" t="str">
        <f aca="false">IF(OR(BOM!$D152="",BOM!$R152="Cancelled"),"",IF(OR(BOM!R152="Received",BOM!R152="NSW Purchased"),"Received",IF(BOM!R152="Purchased – Not Received","Ordered",IF(BOM!R152="Finalized – Not Purchased","Design Released","In Design"))))</f>
        <v/>
      </c>
      <c r="K146" s="52" t="str">
        <f aca="false">IF(OR(BOM!$D152="",BOM!$R152="Cancelled"),"",IF(BOM!W152="","",BOM!W152))</f>
        <v/>
      </c>
    </row>
    <row r="147" customFormat="false" ht="15" hidden="false" customHeight="false" outlineLevel="0" collapsed="false">
      <c r="A147" s="5" t="str">
        <f aca="false">IF(OR(BOM!$D153="",BOM!$R153="Cancelled"),"",IF(BOM!A153="","",BOM!A153))</f>
        <v/>
      </c>
      <c r="B147" s="5" t="str">
        <f aca="false">IF(OR(BOM!$D153="",BOM!$R153="Cancelled"),"",IF(BOM!B153="","",BOM!B153))</f>
        <v/>
      </c>
      <c r="C147" s="5" t="str">
        <f aca="false">IF(OR(BOM!$D153="",BOM!$R153="Cancelled"),"",IF(BOM!C153="","",BOM!C153))</f>
        <v/>
      </c>
      <c r="D147" s="5" t="str">
        <f aca="false">IF(OR(BOM!$D153="",BOM!$R153="Cancelled"),"",IF(BOM!D153="","",BOM!D153))</f>
        <v/>
      </c>
      <c r="E147" s="5" t="str">
        <f aca="false">IF(OR(BOM!$D153="",BOM!$R153="Cancelled"),"",IF(BOM!E153="","",BOM!E153))</f>
        <v/>
      </c>
      <c r="F147" s="5" t="str">
        <f aca="false">IF(OR(BOM!$D153="",BOM!$R153="Cancelled"),"",IF(BOM!F153="","",BOM!F153))</f>
        <v/>
      </c>
      <c r="G147" s="5" t="str">
        <f aca="false">IF(OR(BOM!$D153="",BOM!$R153="Cancelled"),"",IF(BOM!J153="","",BOM!J153))</f>
        <v/>
      </c>
      <c r="H147" s="5" t="str">
        <f aca="false">IF(OR(BOM!$D153="",BOM!$R153="Cancelled"),"",IF(BOM!K153="","",BOM!K153))</f>
        <v/>
      </c>
      <c r="I147" s="5" t="str">
        <f aca="false">IF(OR(BOM!$D153="",BOM!$R153="Cancelled"),"",IF(BOM!M153="","",BOM!M153))</f>
        <v/>
      </c>
      <c r="J147" s="5" t="str">
        <f aca="false">IF(OR(BOM!$D153="",BOM!$R153="Cancelled"),"",IF(OR(BOM!R153="Received",BOM!R153="NSW Purchased"),"Received",IF(BOM!R153="Purchased – Not Received","Ordered",IF(BOM!R153="Finalized – Not Purchased","Design Released","In Design"))))</f>
        <v/>
      </c>
      <c r="K147" s="52" t="str">
        <f aca="false">IF(OR(BOM!$D153="",BOM!$R153="Cancelled"),"",IF(BOM!W153="","",BOM!W153))</f>
        <v/>
      </c>
    </row>
    <row r="148" customFormat="false" ht="15" hidden="false" customHeight="false" outlineLevel="0" collapsed="false">
      <c r="A148" s="5" t="str">
        <f aca="false">IF(OR(BOM!$D154="",BOM!$R154="Cancelled"),"",IF(BOM!A154="","",BOM!A154))</f>
        <v/>
      </c>
      <c r="B148" s="5" t="str">
        <f aca="false">IF(OR(BOM!$D154="",BOM!$R154="Cancelled"),"",IF(BOM!B154="","",BOM!B154))</f>
        <v/>
      </c>
      <c r="C148" s="5" t="str">
        <f aca="false">IF(OR(BOM!$D154="",BOM!$R154="Cancelled"),"",IF(BOM!C154="","",BOM!C154))</f>
        <v/>
      </c>
      <c r="D148" s="5" t="str">
        <f aca="false">IF(OR(BOM!$D154="",BOM!$R154="Cancelled"),"",IF(BOM!D154="","",BOM!D154))</f>
        <v/>
      </c>
      <c r="E148" s="5" t="str">
        <f aca="false">IF(OR(BOM!$D154="",BOM!$R154="Cancelled"),"",IF(BOM!E154="","",BOM!E154))</f>
        <v/>
      </c>
      <c r="F148" s="5" t="str">
        <f aca="false">IF(OR(BOM!$D154="",BOM!$R154="Cancelled"),"",IF(BOM!F154="","",BOM!F154))</f>
        <v/>
      </c>
      <c r="G148" s="5" t="str">
        <f aca="false">IF(OR(BOM!$D154="",BOM!$R154="Cancelled"),"",IF(BOM!J154="","",BOM!J154))</f>
        <v/>
      </c>
      <c r="H148" s="5" t="str">
        <f aca="false">IF(OR(BOM!$D154="",BOM!$R154="Cancelled"),"",IF(BOM!K154="","",BOM!K154))</f>
        <v/>
      </c>
      <c r="I148" s="5" t="str">
        <f aca="false">IF(OR(BOM!$D154="",BOM!$R154="Cancelled"),"",IF(BOM!M154="","",BOM!M154))</f>
        <v/>
      </c>
      <c r="J148" s="5" t="str">
        <f aca="false">IF(OR(BOM!$D154="",BOM!$R154="Cancelled"),"",IF(OR(BOM!R154="Received",BOM!R154="NSW Purchased"),"Received",IF(BOM!R154="Purchased – Not Received","Ordered",IF(BOM!R154="Finalized – Not Purchased","Design Released","In Design"))))</f>
        <v/>
      </c>
      <c r="K148" s="52" t="str">
        <f aca="false">IF(OR(BOM!$D154="",BOM!$R154="Cancelled"),"",IF(BOM!W154="","",BOM!W154))</f>
        <v/>
      </c>
    </row>
    <row r="149" customFormat="false" ht="15" hidden="false" customHeight="false" outlineLevel="0" collapsed="false">
      <c r="A149" s="5" t="str">
        <f aca="false">IF(OR(BOM!$D155="",BOM!$R155="Cancelled"),"",IF(BOM!A155="","",BOM!A155))</f>
        <v/>
      </c>
      <c r="B149" s="5" t="str">
        <f aca="false">IF(OR(BOM!$D155="",BOM!$R155="Cancelled"),"",IF(BOM!B155="","",BOM!B155))</f>
        <v/>
      </c>
      <c r="C149" s="5" t="str">
        <f aca="false">IF(OR(BOM!$D155="",BOM!$R155="Cancelled"),"",IF(BOM!C155="","",BOM!C155))</f>
        <v/>
      </c>
      <c r="D149" s="5" t="str">
        <f aca="false">IF(OR(BOM!$D155="",BOM!$R155="Cancelled"),"",IF(BOM!D155="","",BOM!D155))</f>
        <v/>
      </c>
      <c r="E149" s="5" t="str">
        <f aca="false">IF(OR(BOM!$D155="",BOM!$R155="Cancelled"),"",IF(BOM!E155="","",BOM!E155))</f>
        <v/>
      </c>
      <c r="F149" s="5" t="str">
        <f aca="false">IF(OR(BOM!$D155="",BOM!$R155="Cancelled"),"",IF(BOM!F155="","",BOM!F155))</f>
        <v/>
      </c>
      <c r="G149" s="5" t="str">
        <f aca="false">IF(OR(BOM!$D155="",BOM!$R155="Cancelled"),"",IF(BOM!J155="","",BOM!J155))</f>
        <v/>
      </c>
      <c r="H149" s="5" t="str">
        <f aca="false">IF(OR(BOM!$D155="",BOM!$R155="Cancelled"),"",IF(BOM!K155="","",BOM!K155))</f>
        <v/>
      </c>
      <c r="I149" s="5" t="str">
        <f aca="false">IF(OR(BOM!$D155="",BOM!$R155="Cancelled"),"",IF(BOM!M155="","",BOM!M155))</f>
        <v/>
      </c>
      <c r="J149" s="5" t="str">
        <f aca="false">IF(OR(BOM!$D155="",BOM!$R155="Cancelled"),"",IF(OR(BOM!R155="Received",BOM!R155="NSW Purchased"),"Received",IF(BOM!R155="Purchased – Not Received","Ordered",IF(BOM!R155="Finalized – Not Purchased","Design Released","In Design"))))</f>
        <v/>
      </c>
      <c r="K149" s="52" t="str">
        <f aca="false">IF(OR(BOM!$D155="",BOM!$R155="Cancelled"),"",IF(BOM!W155="","",BOM!W155))</f>
        <v/>
      </c>
    </row>
    <row r="150" customFormat="false" ht="15" hidden="false" customHeight="false" outlineLevel="0" collapsed="false">
      <c r="A150" s="5" t="str">
        <f aca="false">IF(OR(BOM!$D156="",BOM!$R156="Cancelled"),"",IF(BOM!A156="","",BOM!A156))</f>
        <v/>
      </c>
      <c r="B150" s="5" t="str">
        <f aca="false">IF(OR(BOM!$D156="",BOM!$R156="Cancelled"),"",IF(BOM!B156="","",BOM!B156))</f>
        <v/>
      </c>
      <c r="C150" s="5" t="str">
        <f aca="false">IF(OR(BOM!$D156="",BOM!$R156="Cancelled"),"",IF(BOM!C156="","",BOM!C156))</f>
        <v/>
      </c>
      <c r="D150" s="5" t="str">
        <f aca="false">IF(OR(BOM!$D156="",BOM!$R156="Cancelled"),"",IF(BOM!D156="","",BOM!D156))</f>
        <v/>
      </c>
      <c r="E150" s="5" t="str">
        <f aca="false">IF(OR(BOM!$D156="",BOM!$R156="Cancelled"),"",IF(BOM!E156="","",BOM!E156))</f>
        <v/>
      </c>
      <c r="F150" s="5" t="str">
        <f aca="false">IF(OR(BOM!$D156="",BOM!$R156="Cancelled"),"",IF(BOM!F156="","",BOM!F156))</f>
        <v/>
      </c>
      <c r="G150" s="5" t="str">
        <f aca="false">IF(OR(BOM!$D156="",BOM!$R156="Cancelled"),"",IF(BOM!J156="","",BOM!J156))</f>
        <v/>
      </c>
      <c r="H150" s="5" t="str">
        <f aca="false">IF(OR(BOM!$D156="",BOM!$R156="Cancelled"),"",IF(BOM!K156="","",BOM!K156))</f>
        <v/>
      </c>
      <c r="I150" s="5" t="str">
        <f aca="false">IF(OR(BOM!$D156="",BOM!$R156="Cancelled"),"",IF(BOM!M156="","",BOM!M156))</f>
        <v/>
      </c>
      <c r="J150" s="5" t="str">
        <f aca="false">IF(OR(BOM!$D156="",BOM!$R156="Cancelled"),"",IF(OR(BOM!R156="Received",BOM!R156="NSW Purchased"),"Received",IF(BOM!R156="Purchased – Not Received","Ordered",IF(BOM!R156="Finalized – Not Purchased","Design Released","In Design"))))</f>
        <v/>
      </c>
      <c r="K150" s="52" t="str">
        <f aca="false">IF(OR(BOM!$D156="",BOM!$R156="Cancelled"),"",IF(BOM!W156="","",BOM!W156))</f>
        <v/>
      </c>
    </row>
    <row r="151" customFormat="false" ht="15" hidden="false" customHeight="false" outlineLevel="0" collapsed="false">
      <c r="A151" s="5" t="str">
        <f aca="false">IF(OR(BOM!$D157="",BOM!$R157="Cancelled"),"",IF(BOM!A157="","",BOM!A157))</f>
        <v/>
      </c>
      <c r="B151" s="5" t="str">
        <f aca="false">IF(OR(BOM!$D157="",BOM!$R157="Cancelled"),"",IF(BOM!B157="","",BOM!B157))</f>
        <v/>
      </c>
      <c r="C151" s="5" t="str">
        <f aca="false">IF(OR(BOM!$D157="",BOM!$R157="Cancelled"),"",IF(BOM!C157="","",BOM!C157))</f>
        <v/>
      </c>
      <c r="D151" s="5" t="str">
        <f aca="false">IF(OR(BOM!$D157="",BOM!$R157="Cancelled"),"",IF(BOM!D157="","",BOM!D157))</f>
        <v/>
      </c>
      <c r="E151" s="5" t="str">
        <f aca="false">IF(OR(BOM!$D157="",BOM!$R157="Cancelled"),"",IF(BOM!E157="","",BOM!E157))</f>
        <v/>
      </c>
      <c r="F151" s="5" t="str">
        <f aca="false">IF(OR(BOM!$D157="",BOM!$R157="Cancelled"),"",IF(BOM!F157="","",BOM!F157))</f>
        <v/>
      </c>
      <c r="G151" s="5" t="str">
        <f aca="false">IF(OR(BOM!$D157="",BOM!$R157="Cancelled"),"",IF(BOM!J157="","",BOM!J157))</f>
        <v/>
      </c>
      <c r="H151" s="5" t="str">
        <f aca="false">IF(OR(BOM!$D157="",BOM!$R157="Cancelled"),"",IF(BOM!K157="","",BOM!K157))</f>
        <v/>
      </c>
      <c r="I151" s="5" t="str">
        <f aca="false">IF(OR(BOM!$D157="",BOM!$R157="Cancelled"),"",IF(BOM!M157="","",BOM!M157))</f>
        <v/>
      </c>
      <c r="J151" s="5" t="str">
        <f aca="false">IF(OR(BOM!$D157="",BOM!$R157="Cancelled"),"",IF(OR(BOM!R157="Received",BOM!R157="NSW Purchased"),"Received",IF(BOM!R157="Purchased – Not Received","Ordered",IF(BOM!R157="Finalized – Not Purchased","Design Released","In Design"))))</f>
        <v/>
      </c>
      <c r="K151" s="52" t="str">
        <f aca="false">IF(OR(BOM!$D157="",BOM!$R157="Cancelled"),"",IF(BOM!W157="","",BOM!W157))</f>
        <v/>
      </c>
    </row>
    <row r="152" customFormat="false" ht="15" hidden="false" customHeight="false" outlineLevel="0" collapsed="false">
      <c r="A152" s="5" t="str">
        <f aca="false">IF(OR(BOM!$D158="",BOM!$R158="Cancelled"),"",IF(BOM!A158="","",BOM!A158))</f>
        <v/>
      </c>
      <c r="B152" s="5" t="str">
        <f aca="false">IF(OR(BOM!$D158="",BOM!$R158="Cancelled"),"",IF(BOM!B158="","",BOM!B158))</f>
        <v/>
      </c>
      <c r="C152" s="5" t="str">
        <f aca="false">IF(OR(BOM!$D158="",BOM!$R158="Cancelled"),"",IF(BOM!C158="","",BOM!C158))</f>
        <v/>
      </c>
      <c r="D152" s="5" t="str">
        <f aca="false">IF(OR(BOM!$D158="",BOM!$R158="Cancelled"),"",IF(BOM!D158="","",BOM!D158))</f>
        <v/>
      </c>
      <c r="E152" s="5" t="str">
        <f aca="false">IF(OR(BOM!$D158="",BOM!$R158="Cancelled"),"",IF(BOM!E158="","",BOM!E158))</f>
        <v/>
      </c>
      <c r="F152" s="5" t="str">
        <f aca="false">IF(OR(BOM!$D158="",BOM!$R158="Cancelled"),"",IF(BOM!F158="","",BOM!F158))</f>
        <v/>
      </c>
      <c r="G152" s="5" t="str">
        <f aca="false">IF(OR(BOM!$D158="",BOM!$R158="Cancelled"),"",IF(BOM!J158="","",BOM!J158))</f>
        <v/>
      </c>
      <c r="H152" s="5" t="str">
        <f aca="false">IF(OR(BOM!$D158="",BOM!$R158="Cancelled"),"",IF(BOM!K158="","",BOM!K158))</f>
        <v/>
      </c>
      <c r="I152" s="5" t="str">
        <f aca="false">IF(OR(BOM!$D158="",BOM!$R158="Cancelled"),"",IF(BOM!M158="","",BOM!M158))</f>
        <v/>
      </c>
      <c r="J152" s="5" t="str">
        <f aca="false">IF(OR(BOM!$D158="",BOM!$R158="Cancelled"),"",IF(OR(BOM!R158="Received",BOM!R158="NSW Purchased"),"Received",IF(BOM!R158="Purchased – Not Received","Ordered",IF(BOM!R158="Finalized – Not Purchased","Design Released","In Design"))))</f>
        <v/>
      </c>
      <c r="K152" s="52" t="str">
        <f aca="false">IF(OR(BOM!$D158="",BOM!$R158="Cancelled"),"",IF(BOM!W158="","",BOM!W158))</f>
        <v/>
      </c>
    </row>
    <row r="153" customFormat="false" ht="15" hidden="false" customHeight="false" outlineLevel="0" collapsed="false">
      <c r="A153" s="5" t="str">
        <f aca="false">IF(OR(BOM!$D159="",BOM!$R159="Cancelled"),"",IF(BOM!A159="","",BOM!A159))</f>
        <v/>
      </c>
      <c r="B153" s="5" t="str">
        <f aca="false">IF(OR(BOM!$D159="",BOM!$R159="Cancelled"),"",IF(BOM!B159="","",BOM!B159))</f>
        <v/>
      </c>
      <c r="C153" s="5" t="str">
        <f aca="false">IF(OR(BOM!$D159="",BOM!$R159="Cancelled"),"",IF(BOM!C159="","",BOM!C159))</f>
        <v/>
      </c>
      <c r="D153" s="5" t="str">
        <f aca="false">IF(OR(BOM!$D159="",BOM!$R159="Cancelled"),"",IF(BOM!D159="","",BOM!D159))</f>
        <v/>
      </c>
      <c r="E153" s="5" t="str">
        <f aca="false">IF(OR(BOM!$D159="",BOM!$R159="Cancelled"),"",IF(BOM!E159="","",BOM!E159))</f>
        <v/>
      </c>
      <c r="F153" s="5" t="str">
        <f aca="false">IF(OR(BOM!$D159="",BOM!$R159="Cancelled"),"",IF(BOM!F159="","",BOM!F159))</f>
        <v/>
      </c>
      <c r="G153" s="5" t="str">
        <f aca="false">IF(OR(BOM!$D159="",BOM!$R159="Cancelled"),"",IF(BOM!J159="","",BOM!J159))</f>
        <v/>
      </c>
      <c r="H153" s="5" t="str">
        <f aca="false">IF(OR(BOM!$D159="",BOM!$R159="Cancelled"),"",IF(BOM!K159="","",BOM!K159))</f>
        <v/>
      </c>
      <c r="I153" s="5" t="str">
        <f aca="false">IF(OR(BOM!$D159="",BOM!$R159="Cancelled"),"",IF(BOM!M159="","",BOM!M159))</f>
        <v/>
      </c>
      <c r="J153" s="5" t="str">
        <f aca="false">IF(OR(BOM!$D159="",BOM!$R159="Cancelled"),"",IF(OR(BOM!R159="Received",BOM!R159="NSW Purchased"),"Received",IF(BOM!R159="Purchased – Not Received","Ordered",IF(BOM!R159="Finalized – Not Purchased","Design Released","In Design"))))</f>
        <v/>
      </c>
      <c r="K153" s="52" t="str">
        <f aca="false">IF(OR(BOM!$D159="",BOM!$R159="Cancelled"),"",IF(BOM!W159="","",BOM!W159))</f>
        <v/>
      </c>
    </row>
    <row r="154" customFormat="false" ht="15" hidden="false" customHeight="false" outlineLevel="0" collapsed="false">
      <c r="A154" s="5" t="str">
        <f aca="false">IF(OR(BOM!$D160="",BOM!$R160="Cancelled"),"",IF(BOM!A160="","",BOM!A160))</f>
        <v/>
      </c>
      <c r="B154" s="5" t="str">
        <f aca="false">IF(OR(BOM!$D160="",BOM!$R160="Cancelled"),"",IF(BOM!B160="","",BOM!B160))</f>
        <v/>
      </c>
      <c r="C154" s="5" t="str">
        <f aca="false">IF(OR(BOM!$D160="",BOM!$R160="Cancelled"),"",IF(BOM!C160="","",BOM!C160))</f>
        <v/>
      </c>
      <c r="D154" s="5" t="str">
        <f aca="false">IF(OR(BOM!$D160="",BOM!$R160="Cancelled"),"",IF(BOM!D160="","",BOM!D160))</f>
        <v/>
      </c>
      <c r="E154" s="5" t="str">
        <f aca="false">IF(OR(BOM!$D160="",BOM!$R160="Cancelled"),"",IF(BOM!E160="","",BOM!E160))</f>
        <v/>
      </c>
      <c r="F154" s="5" t="str">
        <f aca="false">IF(OR(BOM!$D160="",BOM!$R160="Cancelled"),"",IF(BOM!F160="","",BOM!F160))</f>
        <v/>
      </c>
      <c r="G154" s="5" t="str">
        <f aca="false">IF(OR(BOM!$D160="",BOM!$R160="Cancelled"),"",IF(BOM!J160="","",BOM!J160))</f>
        <v/>
      </c>
      <c r="H154" s="5" t="str">
        <f aca="false">IF(OR(BOM!$D160="",BOM!$R160="Cancelled"),"",IF(BOM!K160="","",BOM!K160))</f>
        <v/>
      </c>
      <c r="I154" s="5" t="str">
        <f aca="false">IF(OR(BOM!$D160="",BOM!$R160="Cancelled"),"",IF(BOM!M160="","",BOM!M160))</f>
        <v/>
      </c>
      <c r="J154" s="5" t="str">
        <f aca="false">IF(OR(BOM!$D160="",BOM!$R160="Cancelled"),"",IF(OR(BOM!R160="Received",BOM!R160="NSW Purchased"),"Received",IF(BOM!R160="Purchased – Not Received","Ordered",IF(BOM!R160="Finalized – Not Purchased","Design Released","In Design"))))</f>
        <v/>
      </c>
      <c r="K154" s="52" t="str">
        <f aca="false">IF(OR(BOM!$D160="",BOM!$R160="Cancelled"),"",IF(BOM!W160="","",BOM!W160))</f>
        <v/>
      </c>
    </row>
    <row r="155" customFormat="false" ht="15" hidden="false" customHeight="false" outlineLevel="0" collapsed="false">
      <c r="A155" s="5" t="str">
        <f aca="false">IF(OR(BOM!$D161="",BOM!$R161="Cancelled"),"",IF(BOM!A161="","",BOM!A161))</f>
        <v/>
      </c>
      <c r="B155" s="5" t="str">
        <f aca="false">IF(OR(BOM!$D161="",BOM!$R161="Cancelled"),"",IF(BOM!B161="","",BOM!B161))</f>
        <v/>
      </c>
      <c r="C155" s="5" t="str">
        <f aca="false">IF(OR(BOM!$D161="",BOM!$R161="Cancelled"),"",IF(BOM!C161="","",BOM!C161))</f>
        <v/>
      </c>
      <c r="D155" s="5" t="str">
        <f aca="false">IF(OR(BOM!$D161="",BOM!$R161="Cancelled"),"",IF(BOM!D161="","",BOM!D161))</f>
        <v/>
      </c>
      <c r="E155" s="5" t="str">
        <f aca="false">IF(OR(BOM!$D161="",BOM!$R161="Cancelled"),"",IF(BOM!E161="","",BOM!E161))</f>
        <v/>
      </c>
      <c r="F155" s="5" t="str">
        <f aca="false">IF(OR(BOM!$D161="",BOM!$R161="Cancelled"),"",IF(BOM!F161="","",BOM!F161))</f>
        <v/>
      </c>
      <c r="G155" s="5" t="str">
        <f aca="false">IF(OR(BOM!$D161="",BOM!$R161="Cancelled"),"",IF(BOM!J161="","",BOM!J161))</f>
        <v/>
      </c>
      <c r="H155" s="5" t="str">
        <f aca="false">IF(OR(BOM!$D161="",BOM!$R161="Cancelled"),"",IF(BOM!K161="","",BOM!K161))</f>
        <v/>
      </c>
      <c r="I155" s="5" t="str">
        <f aca="false">IF(OR(BOM!$D161="",BOM!$R161="Cancelled"),"",IF(BOM!M161="","",BOM!M161))</f>
        <v/>
      </c>
      <c r="J155" s="5" t="str">
        <f aca="false">IF(OR(BOM!$D161="",BOM!$R161="Cancelled"),"",IF(OR(BOM!R161="Received",BOM!R161="NSW Purchased"),"Received",IF(BOM!R161="Purchased – Not Received","Ordered",IF(BOM!R161="Finalized – Not Purchased","Design Released","In Design"))))</f>
        <v/>
      </c>
      <c r="K155" s="52" t="str">
        <f aca="false">IF(OR(BOM!$D161="",BOM!$R161="Cancelled"),"",IF(BOM!W161="","",BOM!W161))</f>
        <v/>
      </c>
    </row>
    <row r="156" customFormat="false" ht="15" hidden="false" customHeight="false" outlineLevel="0" collapsed="false">
      <c r="A156" s="5" t="str">
        <f aca="false">IF(OR(BOM!$D162="",BOM!$R162="Cancelled"),"",IF(BOM!A162="","",BOM!A162))</f>
        <v/>
      </c>
      <c r="B156" s="5" t="str">
        <f aca="false">IF(OR(BOM!$D162="",BOM!$R162="Cancelled"),"",IF(BOM!B162="","",BOM!B162))</f>
        <v/>
      </c>
      <c r="C156" s="5" t="str">
        <f aca="false">IF(OR(BOM!$D162="",BOM!$R162="Cancelled"),"",IF(BOM!C162="","",BOM!C162))</f>
        <v/>
      </c>
      <c r="D156" s="5" t="str">
        <f aca="false">IF(OR(BOM!$D162="",BOM!$R162="Cancelled"),"",IF(BOM!D162="","",BOM!D162))</f>
        <v/>
      </c>
      <c r="E156" s="5" t="str">
        <f aca="false">IF(OR(BOM!$D162="",BOM!$R162="Cancelled"),"",IF(BOM!E162="","",BOM!E162))</f>
        <v/>
      </c>
      <c r="F156" s="5" t="str">
        <f aca="false">IF(OR(BOM!$D162="",BOM!$R162="Cancelled"),"",IF(BOM!F162="","",BOM!F162))</f>
        <v/>
      </c>
      <c r="G156" s="5" t="str">
        <f aca="false">IF(OR(BOM!$D162="",BOM!$R162="Cancelled"),"",IF(BOM!J162="","",BOM!J162))</f>
        <v/>
      </c>
      <c r="H156" s="5" t="str">
        <f aca="false">IF(OR(BOM!$D162="",BOM!$R162="Cancelled"),"",IF(BOM!K162="","",BOM!K162))</f>
        <v/>
      </c>
      <c r="I156" s="5" t="str">
        <f aca="false">IF(OR(BOM!$D162="",BOM!$R162="Cancelled"),"",IF(BOM!M162="","",BOM!M162))</f>
        <v/>
      </c>
      <c r="J156" s="5" t="str">
        <f aca="false">IF(OR(BOM!$D162="",BOM!$R162="Cancelled"),"",IF(OR(BOM!R162="Received",BOM!R162="NSW Purchased"),"Received",IF(BOM!R162="Purchased – Not Received","Ordered",IF(BOM!R162="Finalized – Not Purchased","Design Released","In Design"))))</f>
        <v/>
      </c>
      <c r="K156" s="52" t="str">
        <f aca="false">IF(OR(BOM!$D162="",BOM!$R162="Cancelled"),"",IF(BOM!W162="","",BOM!W162))</f>
        <v/>
      </c>
    </row>
    <row r="157" customFormat="false" ht="15" hidden="false" customHeight="false" outlineLevel="0" collapsed="false">
      <c r="A157" s="5" t="str">
        <f aca="false">IF(OR(BOM!$D163="",BOM!$R163="Cancelled"),"",IF(BOM!A163="","",BOM!A163))</f>
        <v/>
      </c>
      <c r="B157" s="5" t="str">
        <f aca="false">IF(OR(BOM!$D163="",BOM!$R163="Cancelled"),"",IF(BOM!B163="","",BOM!B163))</f>
        <v/>
      </c>
      <c r="C157" s="5" t="str">
        <f aca="false">IF(OR(BOM!$D163="",BOM!$R163="Cancelled"),"",IF(BOM!C163="","",BOM!C163))</f>
        <v/>
      </c>
      <c r="D157" s="5" t="str">
        <f aca="false">IF(OR(BOM!$D163="",BOM!$R163="Cancelled"),"",IF(BOM!D163="","",BOM!D163))</f>
        <v/>
      </c>
      <c r="E157" s="5" t="str">
        <f aca="false">IF(OR(BOM!$D163="",BOM!$R163="Cancelled"),"",IF(BOM!E163="","",BOM!E163))</f>
        <v/>
      </c>
      <c r="F157" s="5" t="str">
        <f aca="false">IF(OR(BOM!$D163="",BOM!$R163="Cancelled"),"",IF(BOM!F163="","",BOM!F163))</f>
        <v/>
      </c>
      <c r="G157" s="5" t="str">
        <f aca="false">IF(OR(BOM!$D163="",BOM!$R163="Cancelled"),"",IF(BOM!J163="","",BOM!J163))</f>
        <v/>
      </c>
      <c r="H157" s="5" t="str">
        <f aca="false">IF(OR(BOM!$D163="",BOM!$R163="Cancelled"),"",IF(BOM!K163="","",BOM!K163))</f>
        <v/>
      </c>
      <c r="I157" s="5" t="str">
        <f aca="false">IF(OR(BOM!$D163="",BOM!$R163="Cancelled"),"",IF(BOM!M163="","",BOM!M163))</f>
        <v/>
      </c>
      <c r="J157" s="5" t="str">
        <f aca="false">IF(OR(BOM!$D163="",BOM!$R163="Cancelled"),"",IF(OR(BOM!R163="Received",BOM!R163="NSW Purchased"),"Received",IF(BOM!R163="Purchased – Not Received","Ordered",IF(BOM!R163="Finalized – Not Purchased","Design Released","In Design"))))</f>
        <v/>
      </c>
      <c r="K157" s="52" t="str">
        <f aca="false">IF(OR(BOM!$D163="",BOM!$R163="Cancelled"),"",IF(BOM!W163="","",BOM!W163))</f>
        <v/>
      </c>
    </row>
    <row r="158" customFormat="false" ht="15" hidden="false" customHeight="false" outlineLevel="0" collapsed="false">
      <c r="A158" s="5" t="str">
        <f aca="false">IF(OR(BOM!$D164="",BOM!$R164="Cancelled"),"",IF(BOM!A164="","",BOM!A164))</f>
        <v/>
      </c>
      <c r="B158" s="5" t="str">
        <f aca="false">IF(OR(BOM!$D164="",BOM!$R164="Cancelled"),"",IF(BOM!B164="","",BOM!B164))</f>
        <v/>
      </c>
      <c r="C158" s="5" t="str">
        <f aca="false">IF(OR(BOM!$D164="",BOM!$R164="Cancelled"),"",IF(BOM!C164="","",BOM!C164))</f>
        <v/>
      </c>
      <c r="D158" s="5" t="str">
        <f aca="false">IF(OR(BOM!$D164="",BOM!$R164="Cancelled"),"",IF(BOM!D164="","",BOM!D164))</f>
        <v/>
      </c>
      <c r="E158" s="5" t="str">
        <f aca="false">IF(OR(BOM!$D164="",BOM!$R164="Cancelled"),"",IF(BOM!E164="","",BOM!E164))</f>
        <v/>
      </c>
      <c r="F158" s="5" t="str">
        <f aca="false">IF(OR(BOM!$D164="",BOM!$R164="Cancelled"),"",IF(BOM!F164="","",BOM!F164))</f>
        <v/>
      </c>
      <c r="G158" s="5" t="str">
        <f aca="false">IF(OR(BOM!$D164="",BOM!$R164="Cancelled"),"",IF(BOM!J164="","",BOM!J164))</f>
        <v/>
      </c>
      <c r="H158" s="5" t="str">
        <f aca="false">IF(OR(BOM!$D164="",BOM!$R164="Cancelled"),"",IF(BOM!K164="","",BOM!K164))</f>
        <v/>
      </c>
      <c r="I158" s="5" t="str">
        <f aca="false">IF(OR(BOM!$D164="",BOM!$R164="Cancelled"),"",IF(BOM!M164="","",BOM!M164))</f>
        <v/>
      </c>
      <c r="J158" s="5" t="str">
        <f aca="false">IF(OR(BOM!$D164="",BOM!$R164="Cancelled"),"",IF(OR(BOM!R164="Received",BOM!R164="NSW Purchased"),"Received",IF(BOM!R164="Purchased – Not Received","Ordered",IF(BOM!R164="Finalized – Not Purchased","Design Released","In Design"))))</f>
        <v/>
      </c>
      <c r="K158" s="52" t="str">
        <f aca="false">IF(OR(BOM!$D164="",BOM!$R164="Cancelled"),"",IF(BOM!W164="","",BOM!W164))</f>
        <v/>
      </c>
    </row>
    <row r="159" customFormat="false" ht="15" hidden="false" customHeight="false" outlineLevel="0" collapsed="false">
      <c r="A159" s="5" t="str">
        <f aca="false">IF(OR(BOM!$D165="",BOM!$R165="Cancelled"),"",IF(BOM!A165="","",BOM!A165))</f>
        <v/>
      </c>
      <c r="B159" s="5" t="str">
        <f aca="false">IF(OR(BOM!$D165="",BOM!$R165="Cancelled"),"",IF(BOM!B165="","",BOM!B165))</f>
        <v/>
      </c>
      <c r="C159" s="5" t="str">
        <f aca="false">IF(OR(BOM!$D165="",BOM!$R165="Cancelled"),"",IF(BOM!C165="","",BOM!C165))</f>
        <v/>
      </c>
      <c r="D159" s="5" t="str">
        <f aca="false">IF(OR(BOM!$D165="",BOM!$R165="Cancelled"),"",IF(BOM!D165="","",BOM!D165))</f>
        <v/>
      </c>
      <c r="E159" s="5" t="str">
        <f aca="false">IF(OR(BOM!$D165="",BOM!$R165="Cancelled"),"",IF(BOM!E165="","",BOM!E165))</f>
        <v/>
      </c>
      <c r="F159" s="5" t="str">
        <f aca="false">IF(OR(BOM!$D165="",BOM!$R165="Cancelled"),"",IF(BOM!F165="","",BOM!F165))</f>
        <v/>
      </c>
      <c r="G159" s="5" t="str">
        <f aca="false">IF(OR(BOM!$D165="",BOM!$R165="Cancelled"),"",IF(BOM!J165="","",BOM!J165))</f>
        <v/>
      </c>
      <c r="H159" s="5" t="str">
        <f aca="false">IF(OR(BOM!$D165="",BOM!$R165="Cancelled"),"",IF(BOM!K165="","",BOM!K165))</f>
        <v/>
      </c>
      <c r="I159" s="5" t="str">
        <f aca="false">IF(OR(BOM!$D165="",BOM!$R165="Cancelled"),"",IF(BOM!M165="","",BOM!M165))</f>
        <v/>
      </c>
      <c r="J159" s="5" t="str">
        <f aca="false">IF(OR(BOM!$D165="",BOM!$R165="Cancelled"),"",IF(OR(BOM!R165="Received",BOM!R165="NSW Purchased"),"Received",IF(BOM!R165="Purchased – Not Received","Ordered",IF(BOM!R165="Finalized – Not Purchased","Design Released","In Design"))))</f>
        <v/>
      </c>
      <c r="K159" s="52" t="str">
        <f aca="false">IF(OR(BOM!$D165="",BOM!$R165="Cancelled"),"",IF(BOM!W165="","",BOM!W165))</f>
        <v/>
      </c>
    </row>
    <row r="160" customFormat="false" ht="15" hidden="false" customHeight="false" outlineLevel="0" collapsed="false">
      <c r="A160" s="5" t="str">
        <f aca="false">IF(OR(BOM!$D166="",BOM!$R166="Cancelled"),"",IF(BOM!A166="","",BOM!A166))</f>
        <v/>
      </c>
      <c r="B160" s="5" t="str">
        <f aca="false">IF(OR(BOM!$D166="",BOM!$R166="Cancelled"),"",IF(BOM!B166="","",BOM!B166))</f>
        <v/>
      </c>
      <c r="C160" s="5" t="str">
        <f aca="false">IF(OR(BOM!$D166="",BOM!$R166="Cancelled"),"",IF(BOM!C166="","",BOM!C166))</f>
        <v/>
      </c>
      <c r="D160" s="5" t="str">
        <f aca="false">IF(OR(BOM!$D166="",BOM!$R166="Cancelled"),"",IF(BOM!D166="","",BOM!D166))</f>
        <v/>
      </c>
      <c r="E160" s="5" t="str">
        <f aca="false">IF(OR(BOM!$D166="",BOM!$R166="Cancelled"),"",IF(BOM!E166="","",BOM!E166))</f>
        <v/>
      </c>
      <c r="F160" s="5" t="str">
        <f aca="false">IF(OR(BOM!$D166="",BOM!$R166="Cancelled"),"",IF(BOM!F166="","",BOM!F166))</f>
        <v/>
      </c>
      <c r="G160" s="5" t="str">
        <f aca="false">IF(OR(BOM!$D166="",BOM!$R166="Cancelled"),"",IF(BOM!J166="","",BOM!J166))</f>
        <v/>
      </c>
      <c r="H160" s="5" t="str">
        <f aca="false">IF(OR(BOM!$D166="",BOM!$R166="Cancelled"),"",IF(BOM!K166="","",BOM!K166))</f>
        <v/>
      </c>
      <c r="I160" s="5" t="str">
        <f aca="false">IF(OR(BOM!$D166="",BOM!$R166="Cancelled"),"",IF(BOM!M166="","",BOM!M166))</f>
        <v/>
      </c>
      <c r="J160" s="5" t="str">
        <f aca="false">IF(OR(BOM!$D166="",BOM!$R166="Cancelled"),"",IF(OR(BOM!R166="Received",BOM!R166="NSW Purchased"),"Received",IF(BOM!R166="Purchased – Not Received","Ordered",IF(BOM!R166="Finalized – Not Purchased","Design Released","In Design"))))</f>
        <v/>
      </c>
      <c r="K160" s="52" t="str">
        <f aca="false">IF(OR(BOM!$D166="",BOM!$R166="Cancelled"),"",IF(BOM!W166="","",BOM!W166))</f>
        <v/>
      </c>
    </row>
    <row r="161" customFormat="false" ht="15" hidden="false" customHeight="false" outlineLevel="0" collapsed="false">
      <c r="A161" s="5" t="str">
        <f aca="false">IF(OR(BOM!$D167="",BOM!$R167="Cancelled"),"",IF(BOM!A167="","",BOM!A167))</f>
        <v/>
      </c>
      <c r="B161" s="5" t="str">
        <f aca="false">IF(OR(BOM!$D167="",BOM!$R167="Cancelled"),"",IF(BOM!B167="","",BOM!B167))</f>
        <v/>
      </c>
      <c r="C161" s="5" t="str">
        <f aca="false">IF(OR(BOM!$D167="",BOM!$R167="Cancelled"),"",IF(BOM!C167="","",BOM!C167))</f>
        <v/>
      </c>
      <c r="D161" s="5" t="str">
        <f aca="false">IF(OR(BOM!$D167="",BOM!$R167="Cancelled"),"",IF(BOM!D167="","",BOM!D167))</f>
        <v/>
      </c>
      <c r="E161" s="5" t="str">
        <f aca="false">IF(OR(BOM!$D167="",BOM!$R167="Cancelled"),"",IF(BOM!E167="","",BOM!E167))</f>
        <v/>
      </c>
      <c r="F161" s="5" t="str">
        <f aca="false">IF(OR(BOM!$D167="",BOM!$R167="Cancelled"),"",IF(BOM!F167="","",BOM!F167))</f>
        <v/>
      </c>
      <c r="G161" s="5" t="str">
        <f aca="false">IF(OR(BOM!$D167="",BOM!$R167="Cancelled"),"",IF(BOM!J167="","",BOM!J167))</f>
        <v/>
      </c>
      <c r="H161" s="5" t="str">
        <f aca="false">IF(OR(BOM!$D167="",BOM!$R167="Cancelled"),"",IF(BOM!K167="","",BOM!K167))</f>
        <v/>
      </c>
      <c r="I161" s="5" t="str">
        <f aca="false">IF(OR(BOM!$D167="",BOM!$R167="Cancelled"),"",IF(BOM!M167="","",BOM!M167))</f>
        <v/>
      </c>
      <c r="J161" s="5" t="str">
        <f aca="false">IF(OR(BOM!$D167="",BOM!$R167="Cancelled"),"",IF(OR(BOM!R167="Received",BOM!R167="NSW Purchased"),"Received",IF(BOM!R167="Purchased – Not Received","Ordered",IF(BOM!R167="Finalized – Not Purchased","Design Released","In Design"))))</f>
        <v/>
      </c>
      <c r="K161" s="52" t="str">
        <f aca="false">IF(OR(BOM!$D167="",BOM!$R167="Cancelled"),"",IF(BOM!W167="","",BOM!W167))</f>
        <v/>
      </c>
    </row>
    <row r="162" customFormat="false" ht="15" hidden="false" customHeight="false" outlineLevel="0" collapsed="false">
      <c r="A162" s="5" t="str">
        <f aca="false">IF(OR(BOM!$D168="",BOM!$R168="Cancelled"),"",IF(BOM!A168="","",BOM!A168))</f>
        <v/>
      </c>
      <c r="B162" s="5" t="str">
        <f aca="false">IF(OR(BOM!$D168="",BOM!$R168="Cancelled"),"",IF(BOM!B168="","",BOM!B168))</f>
        <v/>
      </c>
      <c r="C162" s="5" t="str">
        <f aca="false">IF(OR(BOM!$D168="",BOM!$R168="Cancelled"),"",IF(BOM!C168="","",BOM!C168))</f>
        <v/>
      </c>
      <c r="D162" s="5" t="str">
        <f aca="false">IF(OR(BOM!$D168="",BOM!$R168="Cancelled"),"",IF(BOM!D168="","",BOM!D168))</f>
        <v/>
      </c>
      <c r="E162" s="5" t="str">
        <f aca="false">IF(OR(BOM!$D168="",BOM!$R168="Cancelled"),"",IF(BOM!E168="","",BOM!E168))</f>
        <v/>
      </c>
      <c r="F162" s="5" t="str">
        <f aca="false">IF(OR(BOM!$D168="",BOM!$R168="Cancelled"),"",IF(BOM!F168="","",BOM!F168))</f>
        <v/>
      </c>
      <c r="G162" s="5" t="str">
        <f aca="false">IF(OR(BOM!$D168="",BOM!$R168="Cancelled"),"",IF(BOM!J168="","",BOM!J168))</f>
        <v/>
      </c>
      <c r="H162" s="5" t="str">
        <f aca="false">IF(OR(BOM!$D168="",BOM!$R168="Cancelled"),"",IF(BOM!K168="","",BOM!K168))</f>
        <v/>
      </c>
      <c r="I162" s="5" t="str">
        <f aca="false">IF(OR(BOM!$D168="",BOM!$R168="Cancelled"),"",IF(BOM!M168="","",BOM!M168))</f>
        <v/>
      </c>
      <c r="J162" s="5" t="str">
        <f aca="false">IF(OR(BOM!$D168="",BOM!$R168="Cancelled"),"",IF(OR(BOM!R168="Received",BOM!R168="NSW Purchased"),"Received",IF(BOM!R168="Purchased – Not Received","Ordered",IF(BOM!R168="Finalized – Not Purchased","Design Released","In Design"))))</f>
        <v/>
      </c>
      <c r="K162" s="52" t="str">
        <f aca="false">IF(OR(BOM!$D168="",BOM!$R168="Cancelled"),"",IF(BOM!W168="","",BOM!W168))</f>
        <v/>
      </c>
    </row>
    <row r="163" customFormat="false" ht="15" hidden="false" customHeight="false" outlineLevel="0" collapsed="false">
      <c r="A163" s="5" t="str">
        <f aca="false">IF(OR(BOM!$D169="",BOM!$R169="Cancelled"),"",IF(BOM!A169="","",BOM!A169))</f>
        <v/>
      </c>
      <c r="B163" s="5" t="str">
        <f aca="false">IF(OR(BOM!$D169="",BOM!$R169="Cancelled"),"",IF(BOM!B169="","",BOM!B169))</f>
        <v/>
      </c>
      <c r="C163" s="5" t="str">
        <f aca="false">IF(OR(BOM!$D169="",BOM!$R169="Cancelled"),"",IF(BOM!C169="","",BOM!C169))</f>
        <v/>
      </c>
      <c r="D163" s="5" t="str">
        <f aca="false">IF(OR(BOM!$D169="",BOM!$R169="Cancelled"),"",IF(BOM!D169="","",BOM!D169))</f>
        <v/>
      </c>
      <c r="E163" s="5" t="str">
        <f aca="false">IF(OR(BOM!$D169="",BOM!$R169="Cancelled"),"",IF(BOM!E169="","",BOM!E169))</f>
        <v/>
      </c>
      <c r="F163" s="5" t="str">
        <f aca="false">IF(OR(BOM!$D169="",BOM!$R169="Cancelled"),"",IF(BOM!F169="","",BOM!F169))</f>
        <v/>
      </c>
      <c r="G163" s="5" t="str">
        <f aca="false">IF(OR(BOM!$D169="",BOM!$R169="Cancelled"),"",IF(BOM!J169="","",BOM!J169))</f>
        <v/>
      </c>
      <c r="H163" s="5" t="str">
        <f aca="false">IF(OR(BOM!$D169="",BOM!$R169="Cancelled"),"",IF(BOM!K169="","",BOM!K169))</f>
        <v/>
      </c>
      <c r="I163" s="5" t="str">
        <f aca="false">IF(OR(BOM!$D169="",BOM!$R169="Cancelled"),"",IF(BOM!M169="","",BOM!M169))</f>
        <v/>
      </c>
      <c r="J163" s="5" t="str">
        <f aca="false">IF(OR(BOM!$D169="",BOM!$R169="Cancelled"),"",IF(OR(BOM!R169="Received",BOM!R169="NSW Purchased"),"Received",IF(BOM!R169="Purchased – Not Received","Ordered",IF(BOM!R169="Finalized – Not Purchased","Design Released","In Design"))))</f>
        <v/>
      </c>
      <c r="K163" s="52" t="str">
        <f aca="false">IF(OR(BOM!$D169="",BOM!$R169="Cancelled"),"",IF(BOM!W169="","",BOM!W169))</f>
        <v/>
      </c>
    </row>
    <row r="164" customFormat="false" ht="15" hidden="false" customHeight="false" outlineLevel="0" collapsed="false">
      <c r="A164" s="5" t="str">
        <f aca="false">IF(OR(BOM!$D170="",BOM!$R170="Cancelled"),"",IF(BOM!A170="","",BOM!A170))</f>
        <v/>
      </c>
      <c r="B164" s="5" t="str">
        <f aca="false">IF(OR(BOM!$D170="",BOM!$R170="Cancelled"),"",IF(BOM!B170="","",BOM!B170))</f>
        <v/>
      </c>
      <c r="C164" s="5" t="str">
        <f aca="false">IF(OR(BOM!$D170="",BOM!$R170="Cancelled"),"",IF(BOM!C170="","",BOM!C170))</f>
        <v/>
      </c>
      <c r="D164" s="5" t="str">
        <f aca="false">IF(OR(BOM!$D170="",BOM!$R170="Cancelled"),"",IF(BOM!D170="","",BOM!D170))</f>
        <v/>
      </c>
      <c r="E164" s="5" t="str">
        <f aca="false">IF(OR(BOM!$D170="",BOM!$R170="Cancelled"),"",IF(BOM!E170="","",BOM!E170))</f>
        <v/>
      </c>
      <c r="F164" s="5" t="str">
        <f aca="false">IF(OR(BOM!$D170="",BOM!$R170="Cancelled"),"",IF(BOM!F170="","",BOM!F170))</f>
        <v/>
      </c>
      <c r="G164" s="5" t="str">
        <f aca="false">IF(OR(BOM!$D170="",BOM!$R170="Cancelled"),"",IF(BOM!J170="","",BOM!J170))</f>
        <v/>
      </c>
      <c r="H164" s="5" t="str">
        <f aca="false">IF(OR(BOM!$D170="",BOM!$R170="Cancelled"),"",IF(BOM!K170="","",BOM!K170))</f>
        <v/>
      </c>
      <c r="I164" s="5" t="str">
        <f aca="false">IF(OR(BOM!$D170="",BOM!$R170="Cancelled"),"",IF(BOM!M170="","",BOM!M170))</f>
        <v/>
      </c>
      <c r="J164" s="5" t="str">
        <f aca="false">IF(OR(BOM!$D170="",BOM!$R170="Cancelled"),"",IF(OR(BOM!R170="Received",BOM!R170="NSW Purchased"),"Received",IF(BOM!R170="Purchased – Not Received","Ordered",IF(BOM!R170="Finalized – Not Purchased","Design Released","In Design"))))</f>
        <v/>
      </c>
      <c r="K164" s="52" t="str">
        <f aca="false">IF(OR(BOM!$D170="",BOM!$R170="Cancelled"),"",IF(BOM!W170="","",BOM!W170))</f>
        <v/>
      </c>
    </row>
    <row r="165" customFormat="false" ht="15" hidden="false" customHeight="false" outlineLevel="0" collapsed="false">
      <c r="A165" s="5" t="str">
        <f aca="false">IF(OR(BOM!$D171="",BOM!$R171="Cancelled"),"",IF(BOM!A171="","",BOM!A171))</f>
        <v/>
      </c>
      <c r="B165" s="5" t="str">
        <f aca="false">IF(OR(BOM!$D171="",BOM!$R171="Cancelled"),"",IF(BOM!B171="","",BOM!B171))</f>
        <v/>
      </c>
      <c r="C165" s="5" t="str">
        <f aca="false">IF(OR(BOM!$D171="",BOM!$R171="Cancelled"),"",IF(BOM!C171="","",BOM!C171))</f>
        <v/>
      </c>
      <c r="D165" s="5" t="str">
        <f aca="false">IF(OR(BOM!$D171="",BOM!$R171="Cancelled"),"",IF(BOM!D171="","",BOM!D171))</f>
        <v/>
      </c>
      <c r="E165" s="5" t="str">
        <f aca="false">IF(OR(BOM!$D171="",BOM!$R171="Cancelled"),"",IF(BOM!E171="","",BOM!E171))</f>
        <v/>
      </c>
      <c r="F165" s="5" t="str">
        <f aca="false">IF(OR(BOM!$D171="",BOM!$R171="Cancelled"),"",IF(BOM!F171="","",BOM!F171))</f>
        <v/>
      </c>
      <c r="G165" s="5" t="str">
        <f aca="false">IF(OR(BOM!$D171="",BOM!$R171="Cancelled"),"",IF(BOM!J171="","",BOM!J171))</f>
        <v/>
      </c>
      <c r="H165" s="5" t="str">
        <f aca="false">IF(OR(BOM!$D171="",BOM!$R171="Cancelled"),"",IF(BOM!K171="","",BOM!K171))</f>
        <v/>
      </c>
      <c r="I165" s="5" t="str">
        <f aca="false">IF(OR(BOM!$D171="",BOM!$R171="Cancelled"),"",IF(BOM!M171="","",BOM!M171))</f>
        <v/>
      </c>
      <c r="J165" s="5" t="str">
        <f aca="false">IF(OR(BOM!$D171="",BOM!$R171="Cancelled"),"",IF(OR(BOM!R171="Received",BOM!R171="NSW Purchased"),"Received",IF(BOM!R171="Purchased – Not Received","Ordered",IF(BOM!R171="Finalized – Not Purchased","Design Released","In Design"))))</f>
        <v/>
      </c>
      <c r="K165" s="52" t="str">
        <f aca="false">IF(OR(BOM!$D171="",BOM!$R171="Cancelled"),"",IF(BOM!W171="","",BOM!W171))</f>
        <v/>
      </c>
    </row>
    <row r="166" customFormat="false" ht="15" hidden="false" customHeight="false" outlineLevel="0" collapsed="false">
      <c r="A166" s="5" t="str">
        <f aca="false">IF(OR(BOM!$D172="",BOM!$R172="Cancelled"),"",IF(BOM!A172="","",BOM!A172))</f>
        <v/>
      </c>
      <c r="B166" s="5" t="str">
        <f aca="false">IF(OR(BOM!$D172="",BOM!$R172="Cancelled"),"",IF(BOM!B172="","",BOM!B172))</f>
        <v/>
      </c>
      <c r="C166" s="5" t="str">
        <f aca="false">IF(OR(BOM!$D172="",BOM!$R172="Cancelled"),"",IF(BOM!C172="","",BOM!C172))</f>
        <v/>
      </c>
      <c r="D166" s="5" t="str">
        <f aca="false">IF(OR(BOM!$D172="",BOM!$R172="Cancelled"),"",IF(BOM!D172="","",BOM!D172))</f>
        <v/>
      </c>
      <c r="E166" s="5" t="str">
        <f aca="false">IF(OR(BOM!$D172="",BOM!$R172="Cancelled"),"",IF(BOM!E172="","",BOM!E172))</f>
        <v/>
      </c>
      <c r="F166" s="5" t="str">
        <f aca="false">IF(OR(BOM!$D172="",BOM!$R172="Cancelled"),"",IF(BOM!F172="","",BOM!F172))</f>
        <v/>
      </c>
      <c r="G166" s="5" t="str">
        <f aca="false">IF(OR(BOM!$D172="",BOM!$R172="Cancelled"),"",IF(BOM!J172="","",BOM!J172))</f>
        <v/>
      </c>
      <c r="H166" s="5" t="str">
        <f aca="false">IF(OR(BOM!$D172="",BOM!$R172="Cancelled"),"",IF(BOM!K172="","",BOM!K172))</f>
        <v/>
      </c>
      <c r="I166" s="5" t="str">
        <f aca="false">IF(OR(BOM!$D172="",BOM!$R172="Cancelled"),"",IF(BOM!M172="","",BOM!M172))</f>
        <v/>
      </c>
      <c r="J166" s="5" t="str">
        <f aca="false">IF(OR(BOM!$D172="",BOM!$R172="Cancelled"),"",IF(OR(BOM!R172="Received",BOM!R172="NSW Purchased"),"Received",IF(BOM!R172="Purchased – Not Received","Ordered",IF(BOM!R172="Finalized – Not Purchased","Design Released","In Design"))))</f>
        <v/>
      </c>
      <c r="K166" s="52" t="str">
        <f aca="false">IF(OR(BOM!$D172="",BOM!$R172="Cancelled"),"",IF(BOM!W172="","",BOM!W172))</f>
        <v/>
      </c>
    </row>
    <row r="167" customFormat="false" ht="15" hidden="false" customHeight="false" outlineLevel="0" collapsed="false">
      <c r="A167" s="5" t="str">
        <f aca="false">IF(OR(BOM!$D173="",BOM!$R173="Cancelled"),"",IF(BOM!A173="","",BOM!A173))</f>
        <v/>
      </c>
      <c r="B167" s="5" t="str">
        <f aca="false">IF(OR(BOM!$D173="",BOM!$R173="Cancelled"),"",IF(BOM!B173="","",BOM!B173))</f>
        <v/>
      </c>
      <c r="C167" s="5" t="str">
        <f aca="false">IF(OR(BOM!$D173="",BOM!$R173="Cancelled"),"",IF(BOM!C173="","",BOM!C173))</f>
        <v/>
      </c>
      <c r="D167" s="5" t="str">
        <f aca="false">IF(OR(BOM!$D173="",BOM!$R173="Cancelled"),"",IF(BOM!D173="","",BOM!D173))</f>
        <v/>
      </c>
      <c r="E167" s="5" t="str">
        <f aca="false">IF(OR(BOM!$D173="",BOM!$R173="Cancelled"),"",IF(BOM!E173="","",BOM!E173))</f>
        <v/>
      </c>
      <c r="F167" s="5" t="str">
        <f aca="false">IF(OR(BOM!$D173="",BOM!$R173="Cancelled"),"",IF(BOM!F173="","",BOM!F173))</f>
        <v/>
      </c>
      <c r="G167" s="5" t="str">
        <f aca="false">IF(OR(BOM!$D173="",BOM!$R173="Cancelled"),"",IF(BOM!J173="","",BOM!J173))</f>
        <v/>
      </c>
      <c r="H167" s="5" t="str">
        <f aca="false">IF(OR(BOM!$D173="",BOM!$R173="Cancelled"),"",IF(BOM!K173="","",BOM!K173))</f>
        <v/>
      </c>
      <c r="I167" s="5" t="str">
        <f aca="false">IF(OR(BOM!$D173="",BOM!$R173="Cancelled"),"",IF(BOM!M173="","",BOM!M173))</f>
        <v/>
      </c>
      <c r="J167" s="5" t="str">
        <f aca="false">IF(OR(BOM!$D173="",BOM!$R173="Cancelled"),"",IF(OR(BOM!R173="Received",BOM!R173="NSW Purchased"),"Received",IF(BOM!R173="Purchased – Not Received","Ordered",IF(BOM!R173="Finalized – Not Purchased","Design Released","In Design"))))</f>
        <v/>
      </c>
      <c r="K167" s="52" t="str">
        <f aca="false">IF(OR(BOM!$D173="",BOM!$R173="Cancelled"),"",IF(BOM!W173="","",BOM!W173))</f>
        <v/>
      </c>
    </row>
    <row r="168" customFormat="false" ht="15" hidden="false" customHeight="false" outlineLevel="0" collapsed="false">
      <c r="A168" s="5" t="str">
        <f aca="false">IF(OR(BOM!$D174="",BOM!$R174="Cancelled"),"",IF(BOM!A174="","",BOM!A174))</f>
        <v/>
      </c>
      <c r="B168" s="5" t="str">
        <f aca="false">IF(OR(BOM!$D174="",BOM!$R174="Cancelled"),"",IF(BOM!B174="","",BOM!B174))</f>
        <v/>
      </c>
      <c r="C168" s="5" t="str">
        <f aca="false">IF(OR(BOM!$D174="",BOM!$R174="Cancelled"),"",IF(BOM!C174="","",BOM!C174))</f>
        <v/>
      </c>
      <c r="D168" s="5" t="str">
        <f aca="false">IF(OR(BOM!$D174="",BOM!$R174="Cancelled"),"",IF(BOM!D174="","",BOM!D174))</f>
        <v/>
      </c>
      <c r="E168" s="5" t="str">
        <f aca="false">IF(OR(BOM!$D174="",BOM!$R174="Cancelled"),"",IF(BOM!E174="","",BOM!E174))</f>
        <v/>
      </c>
      <c r="F168" s="5" t="str">
        <f aca="false">IF(OR(BOM!$D174="",BOM!$R174="Cancelled"),"",IF(BOM!F174="","",BOM!F174))</f>
        <v/>
      </c>
      <c r="G168" s="5" t="str">
        <f aca="false">IF(OR(BOM!$D174="",BOM!$R174="Cancelled"),"",IF(BOM!J174="","",BOM!J174))</f>
        <v/>
      </c>
      <c r="H168" s="5" t="str">
        <f aca="false">IF(OR(BOM!$D174="",BOM!$R174="Cancelled"),"",IF(BOM!K174="","",BOM!K174))</f>
        <v/>
      </c>
      <c r="I168" s="5" t="str">
        <f aca="false">IF(OR(BOM!$D174="",BOM!$R174="Cancelled"),"",IF(BOM!M174="","",BOM!M174))</f>
        <v/>
      </c>
      <c r="J168" s="5" t="str">
        <f aca="false">IF(OR(BOM!$D174="",BOM!$R174="Cancelled"),"",IF(OR(BOM!R174="Received",BOM!R174="NSW Purchased"),"Received",IF(BOM!R174="Purchased – Not Received","Ordered",IF(BOM!R174="Finalized – Not Purchased","Design Released","In Design"))))</f>
        <v/>
      </c>
      <c r="K168" s="52" t="str">
        <f aca="false">IF(OR(BOM!$D174="",BOM!$R174="Cancelled"),"",IF(BOM!W174="","",BOM!W174))</f>
        <v/>
      </c>
    </row>
    <row r="169" customFormat="false" ht="15" hidden="false" customHeight="false" outlineLevel="0" collapsed="false">
      <c r="A169" s="5" t="str">
        <f aca="false">IF(OR(BOM!$D175="",BOM!$R175="Cancelled"),"",IF(BOM!A175="","",BOM!A175))</f>
        <v/>
      </c>
      <c r="B169" s="5" t="str">
        <f aca="false">IF(OR(BOM!$D175="",BOM!$R175="Cancelled"),"",IF(BOM!B175="","",BOM!B175))</f>
        <v/>
      </c>
      <c r="C169" s="5" t="str">
        <f aca="false">IF(OR(BOM!$D175="",BOM!$R175="Cancelled"),"",IF(BOM!C175="","",BOM!C175))</f>
        <v/>
      </c>
      <c r="D169" s="5" t="str">
        <f aca="false">IF(OR(BOM!$D175="",BOM!$R175="Cancelled"),"",IF(BOM!D175="","",BOM!D175))</f>
        <v/>
      </c>
      <c r="E169" s="5" t="str">
        <f aca="false">IF(OR(BOM!$D175="",BOM!$R175="Cancelled"),"",IF(BOM!E175="","",BOM!E175))</f>
        <v/>
      </c>
      <c r="F169" s="5" t="str">
        <f aca="false">IF(OR(BOM!$D175="",BOM!$R175="Cancelled"),"",IF(BOM!F175="","",BOM!F175))</f>
        <v/>
      </c>
      <c r="G169" s="5" t="str">
        <f aca="false">IF(OR(BOM!$D175="",BOM!$R175="Cancelled"),"",IF(BOM!J175="","",BOM!J175))</f>
        <v/>
      </c>
      <c r="H169" s="5" t="str">
        <f aca="false">IF(OR(BOM!$D175="",BOM!$R175="Cancelled"),"",IF(BOM!K175="","",BOM!K175))</f>
        <v/>
      </c>
      <c r="I169" s="5" t="str">
        <f aca="false">IF(OR(BOM!$D175="",BOM!$R175="Cancelled"),"",IF(BOM!M175="","",BOM!M175))</f>
        <v/>
      </c>
      <c r="J169" s="5" t="str">
        <f aca="false">IF(OR(BOM!$D175="",BOM!$R175="Cancelled"),"",IF(OR(BOM!R175="Received",BOM!R175="NSW Purchased"),"Received",IF(BOM!R175="Purchased – Not Received","Ordered",IF(BOM!R175="Finalized – Not Purchased","Design Released","In Design"))))</f>
        <v/>
      </c>
      <c r="K169" s="52" t="str">
        <f aca="false">IF(OR(BOM!$D175="",BOM!$R175="Cancelled"),"",IF(BOM!W175="","",BOM!W175))</f>
        <v/>
      </c>
    </row>
    <row r="170" customFormat="false" ht="15" hidden="false" customHeight="false" outlineLevel="0" collapsed="false">
      <c r="A170" s="5" t="str">
        <f aca="false">IF(OR(BOM!$D176="",BOM!$R176="Cancelled"),"",IF(BOM!A176="","",BOM!A176))</f>
        <v/>
      </c>
      <c r="B170" s="5" t="str">
        <f aca="false">IF(OR(BOM!$D176="",BOM!$R176="Cancelled"),"",IF(BOM!B176="","",BOM!B176))</f>
        <v/>
      </c>
      <c r="C170" s="5" t="str">
        <f aca="false">IF(OR(BOM!$D176="",BOM!$R176="Cancelled"),"",IF(BOM!C176="","",BOM!C176))</f>
        <v/>
      </c>
      <c r="D170" s="5" t="str">
        <f aca="false">IF(OR(BOM!$D176="",BOM!$R176="Cancelled"),"",IF(BOM!D176="","",BOM!D176))</f>
        <v/>
      </c>
      <c r="E170" s="5" t="str">
        <f aca="false">IF(OR(BOM!$D176="",BOM!$R176="Cancelled"),"",IF(BOM!E176="","",BOM!E176))</f>
        <v/>
      </c>
      <c r="F170" s="5" t="str">
        <f aca="false">IF(OR(BOM!$D176="",BOM!$R176="Cancelled"),"",IF(BOM!F176="","",BOM!F176))</f>
        <v/>
      </c>
      <c r="G170" s="5" t="str">
        <f aca="false">IF(OR(BOM!$D176="",BOM!$R176="Cancelled"),"",IF(BOM!J176="","",BOM!J176))</f>
        <v/>
      </c>
      <c r="H170" s="5" t="str">
        <f aca="false">IF(OR(BOM!$D176="",BOM!$R176="Cancelled"),"",IF(BOM!K176="","",BOM!K176))</f>
        <v/>
      </c>
      <c r="I170" s="5" t="str">
        <f aca="false">IF(OR(BOM!$D176="",BOM!$R176="Cancelled"),"",IF(BOM!M176="","",BOM!M176))</f>
        <v/>
      </c>
      <c r="J170" s="5" t="str">
        <f aca="false">IF(OR(BOM!$D176="",BOM!$R176="Cancelled"),"",IF(OR(BOM!R176="Received",BOM!R176="NSW Purchased"),"Received",IF(BOM!R176="Purchased – Not Received","Ordered",IF(BOM!R176="Finalized – Not Purchased","Design Released","In Design"))))</f>
        <v/>
      </c>
      <c r="K170" s="52" t="str">
        <f aca="false">IF(OR(BOM!$D176="",BOM!$R176="Cancelled"),"",IF(BOM!W176="","",BOM!W176))</f>
        <v/>
      </c>
    </row>
    <row r="171" customFormat="false" ht="15" hidden="false" customHeight="false" outlineLevel="0" collapsed="false">
      <c r="A171" s="5" t="str">
        <f aca="false">IF(OR(BOM!$D177="",BOM!$R177="Cancelled"),"",IF(BOM!A177="","",BOM!A177))</f>
        <v/>
      </c>
      <c r="B171" s="5" t="str">
        <f aca="false">IF(OR(BOM!$D177="",BOM!$R177="Cancelled"),"",IF(BOM!B177="","",BOM!B177))</f>
        <v/>
      </c>
      <c r="C171" s="5" t="str">
        <f aca="false">IF(OR(BOM!$D177="",BOM!$R177="Cancelled"),"",IF(BOM!C177="","",BOM!C177))</f>
        <v/>
      </c>
      <c r="D171" s="5" t="str">
        <f aca="false">IF(OR(BOM!$D177="",BOM!$R177="Cancelled"),"",IF(BOM!D177="","",BOM!D177))</f>
        <v/>
      </c>
      <c r="E171" s="5" t="str">
        <f aca="false">IF(OR(BOM!$D177="",BOM!$R177="Cancelled"),"",IF(BOM!E177="","",BOM!E177))</f>
        <v/>
      </c>
      <c r="F171" s="5" t="str">
        <f aca="false">IF(OR(BOM!$D177="",BOM!$R177="Cancelled"),"",IF(BOM!F177="","",BOM!F177))</f>
        <v/>
      </c>
      <c r="G171" s="5" t="str">
        <f aca="false">IF(OR(BOM!$D177="",BOM!$R177="Cancelled"),"",IF(BOM!J177="","",BOM!J177))</f>
        <v/>
      </c>
      <c r="H171" s="5" t="str">
        <f aca="false">IF(OR(BOM!$D177="",BOM!$R177="Cancelled"),"",IF(BOM!K177="","",BOM!K177))</f>
        <v/>
      </c>
      <c r="I171" s="5" t="str">
        <f aca="false">IF(OR(BOM!$D177="",BOM!$R177="Cancelled"),"",IF(BOM!M177="","",BOM!M177))</f>
        <v/>
      </c>
      <c r="J171" s="5" t="str">
        <f aca="false">IF(OR(BOM!$D177="",BOM!$R177="Cancelled"),"",IF(OR(BOM!R177="Received",BOM!R177="NSW Purchased"),"Received",IF(BOM!R177="Purchased – Not Received","Ordered",IF(BOM!R177="Finalized – Not Purchased","Design Released","In Design"))))</f>
        <v/>
      </c>
      <c r="K171" s="52" t="str">
        <f aca="false">IF(OR(BOM!$D177="",BOM!$R177="Cancelled"),"",IF(BOM!W177="","",BOM!W177))</f>
        <v/>
      </c>
    </row>
    <row r="172" customFormat="false" ht="15" hidden="false" customHeight="false" outlineLevel="0" collapsed="false">
      <c r="A172" s="5" t="str">
        <f aca="false">IF(OR(BOM!$D178="",BOM!$R178="Cancelled"),"",IF(BOM!A178="","",BOM!A178))</f>
        <v/>
      </c>
      <c r="B172" s="5" t="str">
        <f aca="false">IF(OR(BOM!$D178="",BOM!$R178="Cancelled"),"",IF(BOM!B178="","",BOM!B178))</f>
        <v/>
      </c>
      <c r="C172" s="5" t="str">
        <f aca="false">IF(OR(BOM!$D178="",BOM!$R178="Cancelled"),"",IF(BOM!C178="","",BOM!C178))</f>
        <v/>
      </c>
      <c r="D172" s="5" t="str">
        <f aca="false">IF(OR(BOM!$D178="",BOM!$R178="Cancelled"),"",IF(BOM!D178="","",BOM!D178))</f>
        <v/>
      </c>
      <c r="E172" s="5" t="str">
        <f aca="false">IF(OR(BOM!$D178="",BOM!$R178="Cancelled"),"",IF(BOM!E178="","",BOM!E178))</f>
        <v/>
      </c>
      <c r="F172" s="5" t="str">
        <f aca="false">IF(OR(BOM!$D178="",BOM!$R178="Cancelled"),"",IF(BOM!F178="","",BOM!F178))</f>
        <v/>
      </c>
      <c r="G172" s="5" t="str">
        <f aca="false">IF(OR(BOM!$D178="",BOM!$R178="Cancelled"),"",IF(BOM!J178="","",BOM!J178))</f>
        <v/>
      </c>
      <c r="H172" s="5" t="str">
        <f aca="false">IF(OR(BOM!$D178="",BOM!$R178="Cancelled"),"",IF(BOM!K178="","",BOM!K178))</f>
        <v/>
      </c>
      <c r="I172" s="5" t="str">
        <f aca="false">IF(OR(BOM!$D178="",BOM!$R178="Cancelled"),"",IF(BOM!M178="","",BOM!M178))</f>
        <v/>
      </c>
      <c r="J172" s="5" t="str">
        <f aca="false">IF(OR(BOM!$D178="",BOM!$R178="Cancelled"),"",IF(OR(BOM!R178="Received",BOM!R178="NSW Purchased"),"Received",IF(BOM!R178="Purchased – Not Received","Ordered",IF(BOM!R178="Finalized – Not Purchased","Design Released","In Design"))))</f>
        <v/>
      </c>
      <c r="K172" s="52" t="str">
        <f aca="false">IF(OR(BOM!$D178="",BOM!$R178="Cancelled"),"",IF(BOM!W178="","",BOM!W178))</f>
        <v/>
      </c>
    </row>
    <row r="173" customFormat="false" ht="15" hidden="false" customHeight="false" outlineLevel="0" collapsed="false">
      <c r="A173" s="5" t="str">
        <f aca="false">IF(OR(BOM!$D179="",BOM!$R179="Cancelled"),"",IF(BOM!A179="","",BOM!A179))</f>
        <v/>
      </c>
      <c r="B173" s="5" t="str">
        <f aca="false">IF(OR(BOM!$D179="",BOM!$R179="Cancelled"),"",IF(BOM!B179="","",BOM!B179))</f>
        <v/>
      </c>
      <c r="C173" s="5" t="str">
        <f aca="false">IF(OR(BOM!$D179="",BOM!$R179="Cancelled"),"",IF(BOM!C179="","",BOM!C179))</f>
        <v/>
      </c>
      <c r="D173" s="5" t="str">
        <f aca="false">IF(OR(BOM!$D179="",BOM!$R179="Cancelled"),"",IF(BOM!D179="","",BOM!D179))</f>
        <v/>
      </c>
      <c r="E173" s="5" t="str">
        <f aca="false">IF(OR(BOM!$D179="",BOM!$R179="Cancelled"),"",IF(BOM!E179="","",BOM!E179))</f>
        <v/>
      </c>
      <c r="F173" s="5" t="str">
        <f aca="false">IF(OR(BOM!$D179="",BOM!$R179="Cancelled"),"",IF(BOM!F179="","",BOM!F179))</f>
        <v/>
      </c>
      <c r="G173" s="5" t="str">
        <f aca="false">IF(OR(BOM!$D179="",BOM!$R179="Cancelled"),"",IF(BOM!J179="","",BOM!J179))</f>
        <v/>
      </c>
      <c r="H173" s="5" t="str">
        <f aca="false">IF(OR(BOM!$D179="",BOM!$R179="Cancelled"),"",IF(BOM!K179="","",BOM!K179))</f>
        <v/>
      </c>
      <c r="I173" s="5" t="str">
        <f aca="false">IF(OR(BOM!$D179="",BOM!$R179="Cancelled"),"",IF(BOM!M179="","",BOM!M179))</f>
        <v/>
      </c>
      <c r="J173" s="5" t="str">
        <f aca="false">IF(OR(BOM!$D179="",BOM!$R179="Cancelled"),"",IF(OR(BOM!R179="Received",BOM!R179="NSW Purchased"),"Received",IF(BOM!R179="Purchased – Not Received","Ordered",IF(BOM!R179="Finalized – Not Purchased","Design Released","In Design"))))</f>
        <v/>
      </c>
      <c r="K173" s="52" t="str">
        <f aca="false">IF(OR(BOM!$D179="",BOM!$R179="Cancelled"),"",IF(BOM!W179="","",BOM!W179))</f>
        <v/>
      </c>
    </row>
    <row r="174" customFormat="false" ht="15" hidden="false" customHeight="false" outlineLevel="0" collapsed="false">
      <c r="A174" s="5" t="str">
        <f aca="false">IF(OR(BOM!$D180="",BOM!$R180="Cancelled"),"",IF(BOM!A180="","",BOM!A180))</f>
        <v/>
      </c>
      <c r="B174" s="5" t="str">
        <f aca="false">IF(OR(BOM!$D180="",BOM!$R180="Cancelled"),"",IF(BOM!B180="","",BOM!B180))</f>
        <v/>
      </c>
      <c r="C174" s="5" t="str">
        <f aca="false">IF(OR(BOM!$D180="",BOM!$R180="Cancelled"),"",IF(BOM!C180="","",BOM!C180))</f>
        <v/>
      </c>
      <c r="D174" s="5" t="str">
        <f aca="false">IF(OR(BOM!$D180="",BOM!$R180="Cancelled"),"",IF(BOM!D180="","",BOM!D180))</f>
        <v/>
      </c>
      <c r="E174" s="5" t="str">
        <f aca="false">IF(OR(BOM!$D180="",BOM!$R180="Cancelled"),"",IF(BOM!E180="","",BOM!E180))</f>
        <v/>
      </c>
      <c r="F174" s="5" t="str">
        <f aca="false">IF(OR(BOM!$D180="",BOM!$R180="Cancelled"),"",IF(BOM!F180="","",BOM!F180))</f>
        <v/>
      </c>
      <c r="G174" s="5" t="str">
        <f aca="false">IF(OR(BOM!$D180="",BOM!$R180="Cancelled"),"",IF(BOM!J180="","",BOM!J180))</f>
        <v/>
      </c>
      <c r="H174" s="5" t="str">
        <f aca="false">IF(OR(BOM!$D180="",BOM!$R180="Cancelled"),"",IF(BOM!K180="","",BOM!K180))</f>
        <v/>
      </c>
      <c r="I174" s="5" t="str">
        <f aca="false">IF(OR(BOM!$D180="",BOM!$R180="Cancelled"),"",IF(BOM!M180="","",BOM!M180))</f>
        <v/>
      </c>
      <c r="J174" s="5" t="str">
        <f aca="false">IF(OR(BOM!$D180="",BOM!$R180="Cancelled"),"",IF(OR(BOM!R180="Received",BOM!R180="NSW Purchased"),"Received",IF(BOM!R180="Purchased – Not Received","Ordered",IF(BOM!R180="Finalized – Not Purchased","Design Released","In Design"))))</f>
        <v/>
      </c>
      <c r="K174" s="52" t="str">
        <f aca="false">IF(OR(BOM!$D180="",BOM!$R180="Cancelled"),"",IF(BOM!W180="","",BOM!W180))</f>
        <v/>
      </c>
    </row>
    <row r="175" customFormat="false" ht="15" hidden="false" customHeight="false" outlineLevel="0" collapsed="false">
      <c r="A175" s="5" t="str">
        <f aca="false">IF(OR(BOM!$D181="",BOM!$R181="Cancelled"),"",IF(BOM!A181="","",BOM!A181))</f>
        <v/>
      </c>
      <c r="B175" s="5" t="str">
        <f aca="false">IF(OR(BOM!$D181="",BOM!$R181="Cancelled"),"",IF(BOM!B181="","",BOM!B181))</f>
        <v/>
      </c>
      <c r="C175" s="5" t="str">
        <f aca="false">IF(OR(BOM!$D181="",BOM!$R181="Cancelled"),"",IF(BOM!C181="","",BOM!C181))</f>
        <v/>
      </c>
      <c r="D175" s="5" t="str">
        <f aca="false">IF(OR(BOM!$D181="",BOM!$R181="Cancelled"),"",IF(BOM!D181="","",BOM!D181))</f>
        <v/>
      </c>
      <c r="E175" s="5" t="str">
        <f aca="false">IF(OR(BOM!$D181="",BOM!$R181="Cancelled"),"",IF(BOM!E181="","",BOM!E181))</f>
        <v/>
      </c>
      <c r="F175" s="5" t="str">
        <f aca="false">IF(OR(BOM!$D181="",BOM!$R181="Cancelled"),"",IF(BOM!F181="","",BOM!F181))</f>
        <v/>
      </c>
      <c r="G175" s="5" t="str">
        <f aca="false">IF(OR(BOM!$D181="",BOM!$R181="Cancelled"),"",IF(BOM!J181="","",BOM!J181))</f>
        <v/>
      </c>
      <c r="H175" s="5" t="str">
        <f aca="false">IF(OR(BOM!$D181="",BOM!$R181="Cancelled"),"",IF(BOM!K181="","",BOM!K181))</f>
        <v/>
      </c>
      <c r="I175" s="5" t="str">
        <f aca="false">IF(OR(BOM!$D181="",BOM!$R181="Cancelled"),"",IF(BOM!M181="","",BOM!M181))</f>
        <v/>
      </c>
      <c r="J175" s="5" t="str">
        <f aca="false">IF(OR(BOM!$D181="",BOM!$R181="Cancelled"),"",IF(OR(BOM!R181="Received",BOM!R181="NSW Purchased"),"Received",IF(BOM!R181="Purchased – Not Received","Ordered",IF(BOM!R181="Finalized – Not Purchased","Design Released","In Design"))))</f>
        <v/>
      </c>
      <c r="K175" s="52" t="str">
        <f aca="false">IF(OR(BOM!$D181="",BOM!$R181="Cancelled"),"",IF(BOM!W181="","",BOM!W181))</f>
        <v/>
      </c>
    </row>
    <row r="176" customFormat="false" ht="15" hidden="false" customHeight="false" outlineLevel="0" collapsed="false">
      <c r="A176" s="5" t="str">
        <f aca="false">IF(OR(BOM!$D182="",BOM!$R182="Cancelled"),"",IF(BOM!A182="","",BOM!A182))</f>
        <v/>
      </c>
      <c r="B176" s="5" t="str">
        <f aca="false">IF(OR(BOM!$D182="",BOM!$R182="Cancelled"),"",IF(BOM!B182="","",BOM!B182))</f>
        <v/>
      </c>
      <c r="C176" s="5" t="str">
        <f aca="false">IF(OR(BOM!$D182="",BOM!$R182="Cancelled"),"",IF(BOM!C182="","",BOM!C182))</f>
        <v/>
      </c>
      <c r="D176" s="5" t="str">
        <f aca="false">IF(OR(BOM!$D182="",BOM!$R182="Cancelled"),"",IF(BOM!D182="","",BOM!D182))</f>
        <v/>
      </c>
      <c r="E176" s="5" t="str">
        <f aca="false">IF(OR(BOM!$D182="",BOM!$R182="Cancelled"),"",IF(BOM!E182="","",BOM!E182))</f>
        <v/>
      </c>
      <c r="F176" s="5" t="str">
        <f aca="false">IF(OR(BOM!$D182="",BOM!$R182="Cancelled"),"",IF(BOM!F182="","",BOM!F182))</f>
        <v/>
      </c>
      <c r="G176" s="5" t="str">
        <f aca="false">IF(OR(BOM!$D182="",BOM!$R182="Cancelled"),"",IF(BOM!J182="","",BOM!J182))</f>
        <v/>
      </c>
      <c r="H176" s="5" t="str">
        <f aca="false">IF(OR(BOM!$D182="",BOM!$R182="Cancelled"),"",IF(BOM!K182="","",BOM!K182))</f>
        <v/>
      </c>
      <c r="I176" s="5" t="str">
        <f aca="false">IF(OR(BOM!$D182="",BOM!$R182="Cancelled"),"",IF(BOM!M182="","",BOM!M182))</f>
        <v/>
      </c>
      <c r="J176" s="5" t="str">
        <f aca="false">IF(OR(BOM!$D182="",BOM!$R182="Cancelled"),"",IF(OR(BOM!R182="Received",BOM!R182="NSW Purchased"),"Received",IF(BOM!R182="Purchased – Not Received","Ordered",IF(BOM!R182="Finalized – Not Purchased","Design Released","In Design"))))</f>
        <v/>
      </c>
      <c r="K176" s="52" t="str">
        <f aca="false">IF(OR(BOM!$D182="",BOM!$R182="Cancelled"),"",IF(BOM!W182="","",BOM!W182))</f>
        <v/>
      </c>
    </row>
    <row r="177" customFormat="false" ht="15" hidden="false" customHeight="false" outlineLevel="0" collapsed="false">
      <c r="A177" s="5" t="str">
        <f aca="false">IF(OR(BOM!$D183="",BOM!$R183="Cancelled"),"",IF(BOM!A183="","",BOM!A183))</f>
        <v/>
      </c>
      <c r="B177" s="5" t="str">
        <f aca="false">IF(OR(BOM!$D183="",BOM!$R183="Cancelled"),"",IF(BOM!B183="","",BOM!B183))</f>
        <v/>
      </c>
      <c r="C177" s="5" t="str">
        <f aca="false">IF(OR(BOM!$D183="",BOM!$R183="Cancelled"),"",IF(BOM!C183="","",BOM!C183))</f>
        <v/>
      </c>
      <c r="D177" s="5" t="str">
        <f aca="false">IF(OR(BOM!$D183="",BOM!$R183="Cancelled"),"",IF(BOM!D183="","",BOM!D183))</f>
        <v/>
      </c>
      <c r="E177" s="5" t="str">
        <f aca="false">IF(OR(BOM!$D183="",BOM!$R183="Cancelled"),"",IF(BOM!E183="","",BOM!E183))</f>
        <v/>
      </c>
      <c r="F177" s="5" t="str">
        <f aca="false">IF(OR(BOM!$D183="",BOM!$R183="Cancelled"),"",IF(BOM!F183="","",BOM!F183))</f>
        <v/>
      </c>
      <c r="G177" s="5" t="str">
        <f aca="false">IF(OR(BOM!$D183="",BOM!$R183="Cancelled"),"",IF(BOM!J183="","",BOM!J183))</f>
        <v/>
      </c>
      <c r="H177" s="5" t="str">
        <f aca="false">IF(OR(BOM!$D183="",BOM!$R183="Cancelled"),"",IF(BOM!K183="","",BOM!K183))</f>
        <v/>
      </c>
      <c r="I177" s="5" t="str">
        <f aca="false">IF(OR(BOM!$D183="",BOM!$R183="Cancelled"),"",IF(BOM!M183="","",BOM!M183))</f>
        <v/>
      </c>
      <c r="J177" s="5" t="str">
        <f aca="false">IF(OR(BOM!$D183="",BOM!$R183="Cancelled"),"",IF(OR(BOM!R183="Received",BOM!R183="NSW Purchased"),"Received",IF(BOM!R183="Purchased – Not Received","Ordered",IF(BOM!R183="Finalized – Not Purchased","Design Released","In Design"))))</f>
        <v/>
      </c>
      <c r="K177" s="52" t="str">
        <f aca="false">IF(OR(BOM!$D183="",BOM!$R183="Cancelled"),"",IF(BOM!W183="","",BOM!W183))</f>
        <v/>
      </c>
    </row>
    <row r="178" customFormat="false" ht="15" hidden="false" customHeight="false" outlineLevel="0" collapsed="false">
      <c r="A178" s="5" t="str">
        <f aca="false">IF(OR(BOM!$D184="",BOM!$R184="Cancelled"),"",IF(BOM!A184="","",BOM!A184))</f>
        <v/>
      </c>
      <c r="B178" s="5" t="str">
        <f aca="false">IF(OR(BOM!$D184="",BOM!$R184="Cancelled"),"",IF(BOM!B184="","",BOM!B184))</f>
        <v/>
      </c>
      <c r="C178" s="5" t="str">
        <f aca="false">IF(OR(BOM!$D184="",BOM!$R184="Cancelled"),"",IF(BOM!C184="","",BOM!C184))</f>
        <v/>
      </c>
      <c r="D178" s="5" t="str">
        <f aca="false">IF(OR(BOM!$D184="",BOM!$R184="Cancelled"),"",IF(BOM!D184="","",BOM!D184))</f>
        <v/>
      </c>
      <c r="E178" s="5" t="str">
        <f aca="false">IF(OR(BOM!$D184="",BOM!$R184="Cancelled"),"",IF(BOM!E184="","",BOM!E184))</f>
        <v/>
      </c>
      <c r="F178" s="5" t="str">
        <f aca="false">IF(OR(BOM!$D184="",BOM!$R184="Cancelled"),"",IF(BOM!F184="","",BOM!F184))</f>
        <v/>
      </c>
      <c r="G178" s="5" t="str">
        <f aca="false">IF(OR(BOM!$D184="",BOM!$R184="Cancelled"),"",IF(BOM!J184="","",BOM!J184))</f>
        <v/>
      </c>
      <c r="H178" s="5" t="str">
        <f aca="false">IF(OR(BOM!$D184="",BOM!$R184="Cancelled"),"",IF(BOM!K184="","",BOM!K184))</f>
        <v/>
      </c>
      <c r="I178" s="5" t="str">
        <f aca="false">IF(OR(BOM!$D184="",BOM!$R184="Cancelled"),"",IF(BOM!M184="","",BOM!M184))</f>
        <v/>
      </c>
      <c r="J178" s="5" t="str">
        <f aca="false">IF(OR(BOM!$D184="",BOM!$R184="Cancelled"),"",IF(OR(BOM!R184="Received",BOM!R184="NSW Purchased"),"Received",IF(BOM!R184="Purchased – Not Received","Ordered",IF(BOM!R184="Finalized – Not Purchased","Design Released","In Design"))))</f>
        <v/>
      </c>
      <c r="K178" s="52" t="str">
        <f aca="false">IF(OR(BOM!$D184="",BOM!$R184="Cancelled"),"",IF(BOM!W184="","",BOM!W184))</f>
        <v/>
      </c>
    </row>
    <row r="179" customFormat="false" ht="15" hidden="false" customHeight="false" outlineLevel="0" collapsed="false">
      <c r="A179" s="5" t="str">
        <f aca="false">IF(OR(BOM!$D185="",BOM!$R185="Cancelled"),"",IF(BOM!A185="","",BOM!A185))</f>
        <v/>
      </c>
      <c r="B179" s="5" t="str">
        <f aca="false">IF(OR(BOM!$D185="",BOM!$R185="Cancelled"),"",IF(BOM!B185="","",BOM!B185))</f>
        <v/>
      </c>
      <c r="C179" s="5" t="str">
        <f aca="false">IF(OR(BOM!$D185="",BOM!$R185="Cancelled"),"",IF(BOM!C185="","",BOM!C185))</f>
        <v/>
      </c>
      <c r="D179" s="5" t="str">
        <f aca="false">IF(OR(BOM!$D185="",BOM!$R185="Cancelled"),"",IF(BOM!D185="","",BOM!D185))</f>
        <v/>
      </c>
      <c r="E179" s="5" t="str">
        <f aca="false">IF(OR(BOM!$D185="",BOM!$R185="Cancelled"),"",IF(BOM!E185="","",BOM!E185))</f>
        <v/>
      </c>
      <c r="F179" s="5" t="str">
        <f aca="false">IF(OR(BOM!$D185="",BOM!$R185="Cancelled"),"",IF(BOM!F185="","",BOM!F185))</f>
        <v/>
      </c>
      <c r="G179" s="5" t="str">
        <f aca="false">IF(OR(BOM!$D185="",BOM!$R185="Cancelled"),"",IF(BOM!J185="","",BOM!J185))</f>
        <v/>
      </c>
      <c r="H179" s="5" t="str">
        <f aca="false">IF(OR(BOM!$D185="",BOM!$R185="Cancelled"),"",IF(BOM!K185="","",BOM!K185))</f>
        <v/>
      </c>
      <c r="I179" s="5" t="str">
        <f aca="false">IF(OR(BOM!$D185="",BOM!$R185="Cancelled"),"",IF(BOM!M185="","",BOM!M185))</f>
        <v/>
      </c>
      <c r="J179" s="5" t="str">
        <f aca="false">IF(OR(BOM!$D185="",BOM!$R185="Cancelled"),"",IF(OR(BOM!R185="Received",BOM!R185="NSW Purchased"),"Received",IF(BOM!R185="Purchased – Not Received","Ordered",IF(BOM!R185="Finalized – Not Purchased","Design Released","In Design"))))</f>
        <v/>
      </c>
      <c r="K179" s="52" t="str">
        <f aca="false">IF(OR(BOM!$D185="",BOM!$R185="Cancelled"),"",IF(BOM!W185="","",BOM!W185))</f>
        <v/>
      </c>
    </row>
    <row r="180" customFormat="false" ht="15" hidden="false" customHeight="false" outlineLevel="0" collapsed="false">
      <c r="A180" s="5" t="str">
        <f aca="false">IF(OR(BOM!$D186="",BOM!$R186="Cancelled"),"",IF(BOM!A186="","",BOM!A186))</f>
        <v/>
      </c>
      <c r="B180" s="5" t="str">
        <f aca="false">IF(OR(BOM!$D186="",BOM!$R186="Cancelled"),"",IF(BOM!B186="","",BOM!B186))</f>
        <v/>
      </c>
      <c r="C180" s="5" t="str">
        <f aca="false">IF(OR(BOM!$D186="",BOM!$R186="Cancelled"),"",IF(BOM!C186="","",BOM!C186))</f>
        <v/>
      </c>
      <c r="D180" s="5" t="str">
        <f aca="false">IF(OR(BOM!$D186="",BOM!$R186="Cancelled"),"",IF(BOM!D186="","",BOM!D186))</f>
        <v/>
      </c>
      <c r="E180" s="5" t="str">
        <f aca="false">IF(OR(BOM!$D186="",BOM!$R186="Cancelled"),"",IF(BOM!E186="","",BOM!E186))</f>
        <v/>
      </c>
      <c r="F180" s="5" t="str">
        <f aca="false">IF(OR(BOM!$D186="",BOM!$R186="Cancelled"),"",IF(BOM!F186="","",BOM!F186))</f>
        <v/>
      </c>
      <c r="G180" s="5" t="str">
        <f aca="false">IF(OR(BOM!$D186="",BOM!$R186="Cancelled"),"",IF(BOM!J186="","",BOM!J186))</f>
        <v/>
      </c>
      <c r="H180" s="5" t="str">
        <f aca="false">IF(OR(BOM!$D186="",BOM!$R186="Cancelled"),"",IF(BOM!K186="","",BOM!K186))</f>
        <v/>
      </c>
      <c r="I180" s="5" t="str">
        <f aca="false">IF(OR(BOM!$D186="",BOM!$R186="Cancelled"),"",IF(BOM!M186="","",BOM!M186))</f>
        <v/>
      </c>
      <c r="J180" s="5" t="str">
        <f aca="false">IF(OR(BOM!$D186="",BOM!$R186="Cancelled"),"",IF(OR(BOM!R186="Received",BOM!R186="NSW Purchased"),"Received",IF(BOM!R186="Purchased – Not Received","Ordered",IF(BOM!R186="Finalized – Not Purchased","Design Released","In Design"))))</f>
        <v/>
      </c>
      <c r="K180" s="52" t="str">
        <f aca="false">IF(OR(BOM!$D186="",BOM!$R186="Cancelled"),"",IF(BOM!W186="","",BOM!W186))</f>
        <v/>
      </c>
    </row>
    <row r="181" customFormat="false" ht="15" hidden="false" customHeight="false" outlineLevel="0" collapsed="false">
      <c r="A181" s="5" t="str">
        <f aca="false">IF(OR(BOM!$D187="",BOM!$R187="Cancelled"),"",IF(BOM!A187="","",BOM!A187))</f>
        <v/>
      </c>
      <c r="B181" s="5" t="str">
        <f aca="false">IF(OR(BOM!$D187="",BOM!$R187="Cancelled"),"",IF(BOM!B187="","",BOM!B187))</f>
        <v/>
      </c>
      <c r="C181" s="5" t="str">
        <f aca="false">IF(OR(BOM!$D187="",BOM!$R187="Cancelled"),"",IF(BOM!C187="","",BOM!C187))</f>
        <v/>
      </c>
      <c r="D181" s="5" t="str">
        <f aca="false">IF(OR(BOM!$D187="",BOM!$R187="Cancelled"),"",IF(BOM!D187="","",BOM!D187))</f>
        <v/>
      </c>
      <c r="E181" s="5" t="str">
        <f aca="false">IF(OR(BOM!$D187="",BOM!$R187="Cancelled"),"",IF(BOM!E187="","",BOM!E187))</f>
        <v/>
      </c>
      <c r="F181" s="5" t="str">
        <f aca="false">IF(OR(BOM!$D187="",BOM!$R187="Cancelled"),"",IF(BOM!F187="","",BOM!F187))</f>
        <v/>
      </c>
      <c r="G181" s="5" t="str">
        <f aca="false">IF(OR(BOM!$D187="",BOM!$R187="Cancelled"),"",IF(BOM!J187="","",BOM!J187))</f>
        <v/>
      </c>
      <c r="H181" s="5" t="str">
        <f aca="false">IF(OR(BOM!$D187="",BOM!$R187="Cancelled"),"",IF(BOM!K187="","",BOM!K187))</f>
        <v/>
      </c>
      <c r="I181" s="5" t="str">
        <f aca="false">IF(OR(BOM!$D187="",BOM!$R187="Cancelled"),"",IF(BOM!M187="","",BOM!M187))</f>
        <v/>
      </c>
      <c r="J181" s="5" t="str">
        <f aca="false">IF(OR(BOM!$D187="",BOM!$R187="Cancelled"),"",IF(OR(BOM!R187="Received",BOM!R187="NSW Purchased"),"Received",IF(BOM!R187="Purchased – Not Received","Ordered",IF(BOM!R187="Finalized – Not Purchased","Design Released","In Design"))))</f>
        <v/>
      </c>
      <c r="K181" s="52" t="str">
        <f aca="false">IF(OR(BOM!$D187="",BOM!$R187="Cancelled"),"",IF(BOM!W187="","",BOM!W187))</f>
        <v/>
      </c>
    </row>
    <row r="182" customFormat="false" ht="15" hidden="false" customHeight="false" outlineLevel="0" collapsed="false">
      <c r="A182" s="5" t="str">
        <f aca="false">IF(OR(BOM!$D188="",BOM!$R188="Cancelled"),"",IF(BOM!A188="","",BOM!A188))</f>
        <v/>
      </c>
      <c r="B182" s="5" t="str">
        <f aca="false">IF(OR(BOM!$D188="",BOM!$R188="Cancelled"),"",IF(BOM!B188="","",BOM!B188))</f>
        <v/>
      </c>
      <c r="C182" s="5" t="str">
        <f aca="false">IF(OR(BOM!$D188="",BOM!$R188="Cancelled"),"",IF(BOM!C188="","",BOM!C188))</f>
        <v/>
      </c>
      <c r="D182" s="5" t="str">
        <f aca="false">IF(OR(BOM!$D188="",BOM!$R188="Cancelled"),"",IF(BOM!D188="","",BOM!D188))</f>
        <v/>
      </c>
      <c r="E182" s="5" t="str">
        <f aca="false">IF(OR(BOM!$D188="",BOM!$R188="Cancelled"),"",IF(BOM!E188="","",BOM!E188))</f>
        <v/>
      </c>
      <c r="F182" s="5" t="str">
        <f aca="false">IF(OR(BOM!$D188="",BOM!$R188="Cancelled"),"",IF(BOM!F188="","",BOM!F188))</f>
        <v/>
      </c>
      <c r="G182" s="5" t="str">
        <f aca="false">IF(OR(BOM!$D188="",BOM!$R188="Cancelled"),"",IF(BOM!J188="","",BOM!J188))</f>
        <v/>
      </c>
      <c r="H182" s="5" t="str">
        <f aca="false">IF(OR(BOM!$D188="",BOM!$R188="Cancelled"),"",IF(BOM!K188="","",BOM!K188))</f>
        <v/>
      </c>
      <c r="I182" s="5" t="str">
        <f aca="false">IF(OR(BOM!$D188="",BOM!$R188="Cancelled"),"",IF(BOM!M188="","",BOM!M188))</f>
        <v/>
      </c>
      <c r="J182" s="5" t="str">
        <f aca="false">IF(OR(BOM!$D188="",BOM!$R188="Cancelled"),"",IF(OR(BOM!R188="Received",BOM!R188="NSW Purchased"),"Received",IF(BOM!R188="Purchased – Not Received","Ordered",IF(BOM!R188="Finalized – Not Purchased","Design Released","In Design"))))</f>
        <v/>
      </c>
      <c r="K182" s="52" t="str">
        <f aca="false">IF(OR(BOM!$D188="",BOM!$R188="Cancelled"),"",IF(BOM!W188="","",BOM!W188))</f>
        <v/>
      </c>
    </row>
    <row r="183" customFormat="false" ht="15" hidden="false" customHeight="false" outlineLevel="0" collapsed="false">
      <c r="A183" s="5" t="str">
        <f aca="false">IF(OR(BOM!$D189="",BOM!$R189="Cancelled"),"",IF(BOM!A189="","",BOM!A189))</f>
        <v/>
      </c>
      <c r="B183" s="5" t="str">
        <f aca="false">IF(OR(BOM!$D189="",BOM!$R189="Cancelled"),"",IF(BOM!B189="","",BOM!B189))</f>
        <v/>
      </c>
      <c r="C183" s="5" t="str">
        <f aca="false">IF(OR(BOM!$D189="",BOM!$R189="Cancelled"),"",IF(BOM!C189="","",BOM!C189))</f>
        <v/>
      </c>
      <c r="D183" s="5" t="str">
        <f aca="false">IF(OR(BOM!$D189="",BOM!$R189="Cancelled"),"",IF(BOM!D189="","",BOM!D189))</f>
        <v/>
      </c>
      <c r="E183" s="5" t="str">
        <f aca="false">IF(OR(BOM!$D189="",BOM!$R189="Cancelled"),"",IF(BOM!E189="","",BOM!E189))</f>
        <v/>
      </c>
      <c r="F183" s="5" t="str">
        <f aca="false">IF(OR(BOM!$D189="",BOM!$R189="Cancelled"),"",IF(BOM!F189="","",BOM!F189))</f>
        <v/>
      </c>
      <c r="G183" s="5" t="str">
        <f aca="false">IF(OR(BOM!$D189="",BOM!$R189="Cancelled"),"",IF(BOM!J189="","",BOM!J189))</f>
        <v/>
      </c>
      <c r="H183" s="5" t="str">
        <f aca="false">IF(OR(BOM!$D189="",BOM!$R189="Cancelled"),"",IF(BOM!K189="","",BOM!K189))</f>
        <v/>
      </c>
      <c r="I183" s="5" t="str">
        <f aca="false">IF(OR(BOM!$D189="",BOM!$R189="Cancelled"),"",IF(BOM!M189="","",BOM!M189))</f>
        <v/>
      </c>
      <c r="J183" s="5" t="str">
        <f aca="false">IF(OR(BOM!$D189="",BOM!$R189="Cancelled"),"",IF(OR(BOM!R189="Received",BOM!R189="NSW Purchased"),"Received",IF(BOM!R189="Purchased – Not Received","Ordered",IF(BOM!R189="Finalized – Not Purchased","Design Released","In Design"))))</f>
        <v/>
      </c>
      <c r="K183" s="52" t="str">
        <f aca="false">IF(OR(BOM!$D189="",BOM!$R189="Cancelled"),"",IF(BOM!W189="","",BOM!W189))</f>
        <v/>
      </c>
    </row>
    <row r="184" customFormat="false" ht="15" hidden="false" customHeight="false" outlineLevel="0" collapsed="false">
      <c r="A184" s="5" t="str">
        <f aca="false">IF(OR(BOM!$D190="",BOM!$R190="Cancelled"),"",IF(BOM!A190="","",BOM!A190))</f>
        <v/>
      </c>
      <c r="B184" s="5" t="str">
        <f aca="false">IF(OR(BOM!$D190="",BOM!$R190="Cancelled"),"",IF(BOM!B190="","",BOM!B190))</f>
        <v/>
      </c>
      <c r="C184" s="5" t="str">
        <f aca="false">IF(OR(BOM!$D190="",BOM!$R190="Cancelled"),"",IF(BOM!C190="","",BOM!C190))</f>
        <v/>
      </c>
      <c r="D184" s="5" t="str">
        <f aca="false">IF(OR(BOM!$D190="",BOM!$R190="Cancelled"),"",IF(BOM!D190="","",BOM!D190))</f>
        <v/>
      </c>
      <c r="E184" s="5" t="str">
        <f aca="false">IF(OR(BOM!$D190="",BOM!$R190="Cancelled"),"",IF(BOM!E190="","",BOM!E190))</f>
        <v/>
      </c>
      <c r="F184" s="5" t="str">
        <f aca="false">IF(OR(BOM!$D190="",BOM!$R190="Cancelled"),"",IF(BOM!F190="","",BOM!F190))</f>
        <v/>
      </c>
      <c r="G184" s="5" t="str">
        <f aca="false">IF(OR(BOM!$D190="",BOM!$R190="Cancelled"),"",IF(BOM!J190="","",BOM!J190))</f>
        <v/>
      </c>
      <c r="H184" s="5" t="str">
        <f aca="false">IF(OR(BOM!$D190="",BOM!$R190="Cancelled"),"",IF(BOM!K190="","",BOM!K190))</f>
        <v/>
      </c>
      <c r="I184" s="5" t="str">
        <f aca="false">IF(OR(BOM!$D190="",BOM!$R190="Cancelled"),"",IF(BOM!M190="","",BOM!M190))</f>
        <v/>
      </c>
      <c r="J184" s="5" t="str">
        <f aca="false">IF(OR(BOM!$D190="",BOM!$R190="Cancelled"),"",IF(OR(BOM!R190="Received",BOM!R190="NSW Purchased"),"Received",IF(BOM!R190="Purchased – Not Received","Ordered",IF(BOM!R190="Finalized – Not Purchased","Design Released","In Design"))))</f>
        <v/>
      </c>
      <c r="K184" s="52" t="str">
        <f aca="false">IF(OR(BOM!$D190="",BOM!$R190="Cancelled"),"",IF(BOM!W190="","",BOM!W190))</f>
        <v/>
      </c>
    </row>
    <row r="185" customFormat="false" ht="15" hidden="false" customHeight="false" outlineLevel="0" collapsed="false">
      <c r="A185" s="5" t="str">
        <f aca="false">IF(OR(BOM!$D191="",BOM!$R191="Cancelled"),"",IF(BOM!A191="","",BOM!A191))</f>
        <v/>
      </c>
      <c r="B185" s="5" t="str">
        <f aca="false">IF(OR(BOM!$D191="",BOM!$R191="Cancelled"),"",IF(BOM!B191="","",BOM!B191))</f>
        <v/>
      </c>
      <c r="C185" s="5" t="str">
        <f aca="false">IF(OR(BOM!$D191="",BOM!$R191="Cancelled"),"",IF(BOM!C191="","",BOM!C191))</f>
        <v/>
      </c>
      <c r="D185" s="5" t="str">
        <f aca="false">IF(OR(BOM!$D191="",BOM!$R191="Cancelled"),"",IF(BOM!D191="","",BOM!D191))</f>
        <v/>
      </c>
      <c r="E185" s="5" t="str">
        <f aca="false">IF(OR(BOM!$D191="",BOM!$R191="Cancelled"),"",IF(BOM!E191="","",BOM!E191))</f>
        <v/>
      </c>
      <c r="F185" s="5" t="str">
        <f aca="false">IF(OR(BOM!$D191="",BOM!$R191="Cancelled"),"",IF(BOM!F191="","",BOM!F191))</f>
        <v/>
      </c>
      <c r="G185" s="5" t="str">
        <f aca="false">IF(OR(BOM!$D191="",BOM!$R191="Cancelled"),"",IF(BOM!J191="","",BOM!J191))</f>
        <v/>
      </c>
      <c r="H185" s="5" t="str">
        <f aca="false">IF(OR(BOM!$D191="",BOM!$R191="Cancelled"),"",IF(BOM!K191="","",BOM!K191))</f>
        <v/>
      </c>
      <c r="I185" s="5" t="str">
        <f aca="false">IF(OR(BOM!$D191="",BOM!$R191="Cancelled"),"",IF(BOM!M191="","",BOM!M191))</f>
        <v/>
      </c>
      <c r="J185" s="5" t="str">
        <f aca="false">IF(OR(BOM!$D191="",BOM!$R191="Cancelled"),"",IF(OR(BOM!R191="Received",BOM!R191="NSW Purchased"),"Received",IF(BOM!R191="Purchased – Not Received","Ordered",IF(BOM!R191="Finalized – Not Purchased","Design Released","In Design"))))</f>
        <v/>
      </c>
      <c r="K185" s="52" t="str">
        <f aca="false">IF(OR(BOM!$D191="",BOM!$R191="Cancelled"),"",IF(BOM!W191="","",BOM!W191))</f>
        <v/>
      </c>
    </row>
    <row r="186" customFormat="false" ht="15" hidden="false" customHeight="false" outlineLevel="0" collapsed="false">
      <c r="A186" s="5" t="str">
        <f aca="false">IF(OR(BOM!$D192="",BOM!$R192="Cancelled"),"",IF(BOM!A192="","",BOM!A192))</f>
        <v/>
      </c>
      <c r="B186" s="5" t="str">
        <f aca="false">IF(OR(BOM!$D192="",BOM!$R192="Cancelled"),"",IF(BOM!B192="","",BOM!B192))</f>
        <v/>
      </c>
      <c r="C186" s="5" t="str">
        <f aca="false">IF(OR(BOM!$D192="",BOM!$R192="Cancelled"),"",IF(BOM!C192="","",BOM!C192))</f>
        <v/>
      </c>
      <c r="D186" s="5" t="str">
        <f aca="false">IF(OR(BOM!$D192="",BOM!$R192="Cancelled"),"",IF(BOM!D192="","",BOM!D192))</f>
        <v/>
      </c>
      <c r="E186" s="5" t="str">
        <f aca="false">IF(OR(BOM!$D192="",BOM!$R192="Cancelled"),"",IF(BOM!E192="","",BOM!E192))</f>
        <v/>
      </c>
      <c r="F186" s="5" t="str">
        <f aca="false">IF(OR(BOM!$D192="",BOM!$R192="Cancelled"),"",IF(BOM!F192="","",BOM!F192))</f>
        <v/>
      </c>
      <c r="G186" s="5" t="str">
        <f aca="false">IF(OR(BOM!$D192="",BOM!$R192="Cancelled"),"",IF(BOM!J192="","",BOM!J192))</f>
        <v/>
      </c>
      <c r="H186" s="5" t="str">
        <f aca="false">IF(OR(BOM!$D192="",BOM!$R192="Cancelled"),"",IF(BOM!K192="","",BOM!K192))</f>
        <v/>
      </c>
      <c r="I186" s="5" t="str">
        <f aca="false">IF(OR(BOM!$D192="",BOM!$R192="Cancelled"),"",IF(BOM!M192="","",BOM!M192))</f>
        <v/>
      </c>
      <c r="J186" s="5" t="str">
        <f aca="false">IF(OR(BOM!$D192="",BOM!$R192="Cancelled"),"",IF(OR(BOM!R192="Received",BOM!R192="NSW Purchased"),"Received",IF(BOM!R192="Purchased – Not Received","Ordered",IF(BOM!R192="Finalized – Not Purchased","Design Released","In Design"))))</f>
        <v/>
      </c>
      <c r="K186" s="52" t="str">
        <f aca="false">IF(OR(BOM!$D192="",BOM!$R192="Cancelled"),"",IF(BOM!W192="","",BOM!W192))</f>
        <v/>
      </c>
    </row>
    <row r="187" customFormat="false" ht="15" hidden="false" customHeight="false" outlineLevel="0" collapsed="false">
      <c r="A187" s="5" t="str">
        <f aca="false">IF(OR(BOM!$D193="",BOM!$R193="Cancelled"),"",IF(BOM!A193="","",BOM!A193))</f>
        <v/>
      </c>
      <c r="B187" s="5" t="str">
        <f aca="false">IF(OR(BOM!$D193="",BOM!$R193="Cancelled"),"",IF(BOM!B193="","",BOM!B193))</f>
        <v/>
      </c>
      <c r="C187" s="5" t="str">
        <f aca="false">IF(OR(BOM!$D193="",BOM!$R193="Cancelled"),"",IF(BOM!C193="","",BOM!C193))</f>
        <v/>
      </c>
      <c r="D187" s="5" t="str">
        <f aca="false">IF(OR(BOM!$D193="",BOM!$R193="Cancelled"),"",IF(BOM!D193="","",BOM!D193))</f>
        <v/>
      </c>
      <c r="E187" s="5" t="str">
        <f aca="false">IF(OR(BOM!$D193="",BOM!$R193="Cancelled"),"",IF(BOM!E193="","",BOM!E193))</f>
        <v/>
      </c>
      <c r="F187" s="5" t="str">
        <f aca="false">IF(OR(BOM!$D193="",BOM!$R193="Cancelled"),"",IF(BOM!F193="","",BOM!F193))</f>
        <v/>
      </c>
      <c r="G187" s="5" t="str">
        <f aca="false">IF(OR(BOM!$D193="",BOM!$R193="Cancelled"),"",IF(BOM!J193="","",BOM!J193))</f>
        <v/>
      </c>
      <c r="H187" s="5" t="str">
        <f aca="false">IF(OR(BOM!$D193="",BOM!$R193="Cancelled"),"",IF(BOM!K193="","",BOM!K193))</f>
        <v/>
      </c>
      <c r="I187" s="5" t="str">
        <f aca="false">IF(OR(BOM!$D193="",BOM!$R193="Cancelled"),"",IF(BOM!M193="","",BOM!M193))</f>
        <v/>
      </c>
      <c r="J187" s="5" t="str">
        <f aca="false">IF(OR(BOM!$D193="",BOM!$R193="Cancelled"),"",IF(OR(BOM!R193="Received",BOM!R193="NSW Purchased"),"Received",IF(BOM!R193="Purchased – Not Received","Ordered",IF(BOM!R193="Finalized – Not Purchased","Design Released","In Design"))))</f>
        <v/>
      </c>
      <c r="K187" s="52" t="str">
        <f aca="false">IF(OR(BOM!$D193="",BOM!$R193="Cancelled"),"",IF(BOM!W193="","",BOM!W193))</f>
        <v/>
      </c>
    </row>
    <row r="188" customFormat="false" ht="15" hidden="false" customHeight="false" outlineLevel="0" collapsed="false">
      <c r="A188" s="5" t="str">
        <f aca="false">IF(OR(BOM!$D194="",BOM!$R194="Cancelled"),"",IF(BOM!A194="","",BOM!A194))</f>
        <v/>
      </c>
      <c r="B188" s="5" t="str">
        <f aca="false">IF(OR(BOM!$D194="",BOM!$R194="Cancelled"),"",IF(BOM!B194="","",BOM!B194))</f>
        <v/>
      </c>
      <c r="C188" s="5" t="str">
        <f aca="false">IF(OR(BOM!$D194="",BOM!$R194="Cancelled"),"",IF(BOM!C194="","",BOM!C194))</f>
        <v/>
      </c>
      <c r="D188" s="5" t="str">
        <f aca="false">IF(OR(BOM!$D194="",BOM!$R194="Cancelled"),"",IF(BOM!D194="","",BOM!D194))</f>
        <v/>
      </c>
      <c r="E188" s="5" t="str">
        <f aca="false">IF(OR(BOM!$D194="",BOM!$R194="Cancelled"),"",IF(BOM!E194="","",BOM!E194))</f>
        <v/>
      </c>
      <c r="F188" s="5" t="str">
        <f aca="false">IF(OR(BOM!$D194="",BOM!$R194="Cancelled"),"",IF(BOM!F194="","",BOM!F194))</f>
        <v/>
      </c>
      <c r="G188" s="5" t="str">
        <f aca="false">IF(OR(BOM!$D194="",BOM!$R194="Cancelled"),"",IF(BOM!J194="","",BOM!J194))</f>
        <v/>
      </c>
      <c r="H188" s="5" t="str">
        <f aca="false">IF(OR(BOM!$D194="",BOM!$R194="Cancelled"),"",IF(BOM!K194="","",BOM!K194))</f>
        <v/>
      </c>
      <c r="I188" s="5" t="str">
        <f aca="false">IF(OR(BOM!$D194="",BOM!$R194="Cancelled"),"",IF(BOM!M194="","",BOM!M194))</f>
        <v/>
      </c>
      <c r="J188" s="5" t="str">
        <f aca="false">IF(OR(BOM!$D194="",BOM!$R194="Cancelled"),"",IF(OR(BOM!R194="Received",BOM!R194="NSW Purchased"),"Received",IF(BOM!R194="Purchased – Not Received","Ordered",IF(BOM!R194="Finalized – Not Purchased","Design Released","In Design"))))</f>
        <v/>
      </c>
      <c r="K188" s="52" t="str">
        <f aca="false">IF(OR(BOM!$D194="",BOM!$R194="Cancelled"),"",IF(BOM!W194="","",BOM!W194))</f>
        <v/>
      </c>
    </row>
    <row r="189" customFormat="false" ht="15" hidden="false" customHeight="false" outlineLevel="0" collapsed="false">
      <c r="A189" s="5" t="str">
        <f aca="false">IF(OR(BOM!$D195="",BOM!$R195="Cancelled"),"",IF(BOM!A195="","",BOM!A195))</f>
        <v/>
      </c>
      <c r="B189" s="5" t="str">
        <f aca="false">IF(OR(BOM!$D195="",BOM!$R195="Cancelled"),"",IF(BOM!B195="","",BOM!B195))</f>
        <v/>
      </c>
      <c r="C189" s="5" t="str">
        <f aca="false">IF(OR(BOM!$D195="",BOM!$R195="Cancelled"),"",IF(BOM!C195="","",BOM!C195))</f>
        <v/>
      </c>
      <c r="D189" s="5" t="str">
        <f aca="false">IF(OR(BOM!$D195="",BOM!$R195="Cancelled"),"",IF(BOM!D195="","",BOM!D195))</f>
        <v/>
      </c>
      <c r="E189" s="5" t="str">
        <f aca="false">IF(OR(BOM!$D195="",BOM!$R195="Cancelled"),"",IF(BOM!E195="","",BOM!E195))</f>
        <v/>
      </c>
      <c r="F189" s="5" t="str">
        <f aca="false">IF(OR(BOM!$D195="",BOM!$R195="Cancelled"),"",IF(BOM!F195="","",BOM!F195))</f>
        <v/>
      </c>
      <c r="G189" s="5" t="str">
        <f aca="false">IF(OR(BOM!$D195="",BOM!$R195="Cancelled"),"",IF(BOM!J195="","",BOM!J195))</f>
        <v/>
      </c>
      <c r="H189" s="5" t="str">
        <f aca="false">IF(OR(BOM!$D195="",BOM!$R195="Cancelled"),"",IF(BOM!K195="","",BOM!K195))</f>
        <v/>
      </c>
      <c r="I189" s="5" t="str">
        <f aca="false">IF(OR(BOM!$D195="",BOM!$R195="Cancelled"),"",IF(BOM!M195="","",BOM!M195))</f>
        <v/>
      </c>
      <c r="J189" s="5" t="str">
        <f aca="false">IF(OR(BOM!$D195="",BOM!$R195="Cancelled"),"",IF(OR(BOM!R195="Received",BOM!R195="NSW Purchased"),"Received",IF(BOM!R195="Purchased – Not Received","Ordered",IF(BOM!R195="Finalized – Not Purchased","Design Released","In Design"))))</f>
        <v/>
      </c>
      <c r="K189" s="52" t="str">
        <f aca="false">IF(OR(BOM!$D195="",BOM!$R195="Cancelled"),"",IF(BOM!W195="","",BOM!W195))</f>
        <v/>
      </c>
    </row>
    <row r="190" customFormat="false" ht="15" hidden="false" customHeight="false" outlineLevel="0" collapsed="false">
      <c r="A190" s="5" t="str">
        <f aca="false">IF(OR(BOM!$D196="",BOM!$R196="Cancelled"),"",IF(BOM!A196="","",BOM!A196))</f>
        <v/>
      </c>
      <c r="B190" s="5" t="str">
        <f aca="false">IF(OR(BOM!$D196="",BOM!$R196="Cancelled"),"",IF(BOM!B196="","",BOM!B196))</f>
        <v/>
      </c>
      <c r="C190" s="5" t="str">
        <f aca="false">IF(OR(BOM!$D196="",BOM!$R196="Cancelled"),"",IF(BOM!C196="","",BOM!C196))</f>
        <v/>
      </c>
      <c r="D190" s="5" t="str">
        <f aca="false">IF(OR(BOM!$D196="",BOM!$R196="Cancelled"),"",IF(BOM!D196="","",BOM!D196))</f>
        <v/>
      </c>
      <c r="E190" s="5" t="str">
        <f aca="false">IF(OR(BOM!$D196="",BOM!$R196="Cancelled"),"",IF(BOM!E196="","",BOM!E196))</f>
        <v/>
      </c>
      <c r="F190" s="5" t="str">
        <f aca="false">IF(OR(BOM!$D196="",BOM!$R196="Cancelled"),"",IF(BOM!F196="","",BOM!F196))</f>
        <v/>
      </c>
      <c r="G190" s="5" t="str">
        <f aca="false">IF(OR(BOM!$D196="",BOM!$R196="Cancelled"),"",IF(BOM!J196="","",BOM!J196))</f>
        <v/>
      </c>
      <c r="H190" s="5" t="str">
        <f aca="false">IF(OR(BOM!$D196="",BOM!$R196="Cancelled"),"",IF(BOM!K196="","",BOM!K196))</f>
        <v/>
      </c>
      <c r="I190" s="5" t="str">
        <f aca="false">IF(OR(BOM!$D196="",BOM!$R196="Cancelled"),"",IF(BOM!M196="","",BOM!M196))</f>
        <v/>
      </c>
      <c r="J190" s="5" t="str">
        <f aca="false">IF(OR(BOM!$D196="",BOM!$R196="Cancelled"),"",IF(OR(BOM!R196="Received",BOM!R196="NSW Purchased"),"Received",IF(BOM!R196="Purchased – Not Received","Ordered",IF(BOM!R196="Finalized – Not Purchased","Design Released","In Design"))))</f>
        <v/>
      </c>
      <c r="K190" s="52" t="str">
        <f aca="false">IF(OR(BOM!$D196="",BOM!$R196="Cancelled"),"",IF(BOM!W196="","",BOM!W196))</f>
        <v/>
      </c>
    </row>
    <row r="191" customFormat="false" ht="15" hidden="false" customHeight="false" outlineLevel="0" collapsed="false">
      <c r="A191" s="5" t="str">
        <f aca="false">IF(OR(BOM!$D197="",BOM!$R197="Cancelled"),"",IF(BOM!A197="","",BOM!A197))</f>
        <v/>
      </c>
      <c r="B191" s="5" t="str">
        <f aca="false">IF(OR(BOM!$D197="",BOM!$R197="Cancelled"),"",IF(BOM!B197="","",BOM!B197))</f>
        <v/>
      </c>
      <c r="C191" s="5" t="str">
        <f aca="false">IF(OR(BOM!$D197="",BOM!$R197="Cancelled"),"",IF(BOM!C197="","",BOM!C197))</f>
        <v/>
      </c>
      <c r="D191" s="5" t="str">
        <f aca="false">IF(OR(BOM!$D197="",BOM!$R197="Cancelled"),"",IF(BOM!D197="","",BOM!D197))</f>
        <v/>
      </c>
      <c r="E191" s="5" t="str">
        <f aca="false">IF(OR(BOM!$D197="",BOM!$R197="Cancelled"),"",IF(BOM!E197="","",BOM!E197))</f>
        <v/>
      </c>
      <c r="F191" s="5" t="str">
        <f aca="false">IF(OR(BOM!$D197="",BOM!$R197="Cancelled"),"",IF(BOM!F197="","",BOM!F197))</f>
        <v/>
      </c>
      <c r="G191" s="5" t="str">
        <f aca="false">IF(OR(BOM!$D197="",BOM!$R197="Cancelled"),"",IF(BOM!J197="","",BOM!J197))</f>
        <v/>
      </c>
      <c r="H191" s="5" t="str">
        <f aca="false">IF(OR(BOM!$D197="",BOM!$R197="Cancelled"),"",IF(BOM!K197="","",BOM!K197))</f>
        <v/>
      </c>
      <c r="I191" s="5" t="str">
        <f aca="false">IF(OR(BOM!$D197="",BOM!$R197="Cancelled"),"",IF(BOM!M197="","",BOM!M197))</f>
        <v/>
      </c>
      <c r="J191" s="5" t="str">
        <f aca="false">IF(OR(BOM!$D197="",BOM!$R197="Cancelled"),"",IF(OR(BOM!R197="Received",BOM!R197="NSW Purchased"),"Received",IF(BOM!R197="Purchased – Not Received","Ordered",IF(BOM!R197="Finalized – Not Purchased","Design Released","In Design"))))</f>
        <v/>
      </c>
      <c r="K191" s="52" t="str">
        <f aca="false">IF(OR(BOM!$D197="",BOM!$R197="Cancelled"),"",IF(BOM!W197="","",BOM!W197))</f>
        <v/>
      </c>
    </row>
    <row r="192" customFormat="false" ht="15" hidden="false" customHeight="false" outlineLevel="0" collapsed="false">
      <c r="A192" s="5" t="str">
        <f aca="false">IF(OR(BOM!$D198="",BOM!$R198="Cancelled"),"",IF(BOM!A198="","",BOM!A198))</f>
        <v/>
      </c>
      <c r="B192" s="5" t="str">
        <f aca="false">IF(OR(BOM!$D198="",BOM!$R198="Cancelled"),"",IF(BOM!B198="","",BOM!B198))</f>
        <v/>
      </c>
      <c r="C192" s="5" t="str">
        <f aca="false">IF(OR(BOM!$D198="",BOM!$R198="Cancelled"),"",IF(BOM!C198="","",BOM!C198))</f>
        <v/>
      </c>
      <c r="D192" s="5" t="str">
        <f aca="false">IF(OR(BOM!$D198="",BOM!$R198="Cancelled"),"",IF(BOM!D198="","",BOM!D198))</f>
        <v/>
      </c>
      <c r="E192" s="5" t="str">
        <f aca="false">IF(OR(BOM!$D198="",BOM!$R198="Cancelled"),"",IF(BOM!E198="","",BOM!E198))</f>
        <v/>
      </c>
      <c r="F192" s="5" t="str">
        <f aca="false">IF(OR(BOM!$D198="",BOM!$R198="Cancelled"),"",IF(BOM!F198="","",BOM!F198))</f>
        <v/>
      </c>
      <c r="G192" s="5" t="str">
        <f aca="false">IF(OR(BOM!$D198="",BOM!$R198="Cancelled"),"",IF(BOM!J198="","",BOM!J198))</f>
        <v/>
      </c>
      <c r="H192" s="5" t="str">
        <f aca="false">IF(OR(BOM!$D198="",BOM!$R198="Cancelled"),"",IF(BOM!K198="","",BOM!K198))</f>
        <v/>
      </c>
      <c r="I192" s="5" t="str">
        <f aca="false">IF(OR(BOM!$D198="",BOM!$R198="Cancelled"),"",IF(BOM!M198="","",BOM!M198))</f>
        <v/>
      </c>
      <c r="J192" s="5" t="str">
        <f aca="false">IF(OR(BOM!$D198="",BOM!$R198="Cancelled"),"",IF(OR(BOM!R198="Received",BOM!R198="NSW Purchased"),"Received",IF(BOM!R198="Purchased – Not Received","Ordered",IF(BOM!R198="Finalized – Not Purchased","Design Released","In Design"))))</f>
        <v/>
      </c>
      <c r="K192" s="52" t="str">
        <f aca="false">IF(OR(BOM!$D198="",BOM!$R198="Cancelled"),"",IF(BOM!W198="","",BOM!W198))</f>
        <v/>
      </c>
    </row>
    <row r="193" customFormat="false" ht="15" hidden="false" customHeight="false" outlineLevel="0" collapsed="false">
      <c r="A193" s="5" t="str">
        <f aca="false">IF(OR(BOM!$D199="",BOM!$R199="Cancelled"),"",IF(BOM!A199="","",BOM!A199))</f>
        <v/>
      </c>
      <c r="B193" s="5" t="str">
        <f aca="false">IF(OR(BOM!$D199="",BOM!$R199="Cancelled"),"",IF(BOM!B199="","",BOM!B199))</f>
        <v/>
      </c>
      <c r="C193" s="5" t="str">
        <f aca="false">IF(OR(BOM!$D199="",BOM!$R199="Cancelled"),"",IF(BOM!C199="","",BOM!C199))</f>
        <v/>
      </c>
      <c r="D193" s="5" t="str">
        <f aca="false">IF(OR(BOM!$D199="",BOM!$R199="Cancelled"),"",IF(BOM!D199="","",BOM!D199))</f>
        <v/>
      </c>
      <c r="E193" s="5" t="str">
        <f aca="false">IF(OR(BOM!$D199="",BOM!$R199="Cancelled"),"",IF(BOM!E199="","",BOM!E199))</f>
        <v/>
      </c>
      <c r="F193" s="5" t="str">
        <f aca="false">IF(OR(BOM!$D199="",BOM!$R199="Cancelled"),"",IF(BOM!F199="","",BOM!F199))</f>
        <v/>
      </c>
      <c r="G193" s="5" t="str">
        <f aca="false">IF(OR(BOM!$D199="",BOM!$R199="Cancelled"),"",IF(BOM!J199="","",BOM!J199))</f>
        <v/>
      </c>
      <c r="H193" s="5" t="str">
        <f aca="false">IF(OR(BOM!$D199="",BOM!$R199="Cancelled"),"",IF(BOM!K199="","",BOM!K199))</f>
        <v/>
      </c>
      <c r="I193" s="5" t="str">
        <f aca="false">IF(OR(BOM!$D199="",BOM!$R199="Cancelled"),"",IF(BOM!M199="","",BOM!M199))</f>
        <v/>
      </c>
      <c r="J193" s="5" t="str">
        <f aca="false">IF(OR(BOM!$D199="",BOM!$R199="Cancelled"),"",IF(OR(BOM!R199="Received",BOM!R199="NSW Purchased"),"Received",IF(BOM!R199="Purchased – Not Received","Ordered",IF(BOM!R199="Finalized – Not Purchased","Design Released","In Design"))))</f>
        <v/>
      </c>
      <c r="K193" s="52" t="str">
        <f aca="false">IF(OR(BOM!$D199="",BOM!$R199="Cancelled"),"",IF(BOM!W199="","",BOM!W199))</f>
        <v/>
      </c>
    </row>
    <row r="194" customFormat="false" ht="15" hidden="false" customHeight="false" outlineLevel="0" collapsed="false">
      <c r="A194" s="5" t="str">
        <f aca="false">IF(OR(BOM!$D200="",BOM!$R200="Cancelled"),"",IF(BOM!A200="","",BOM!A200))</f>
        <v/>
      </c>
      <c r="B194" s="5" t="str">
        <f aca="false">IF(OR(BOM!$D200="",BOM!$R200="Cancelled"),"",IF(BOM!B200="","",BOM!B200))</f>
        <v/>
      </c>
      <c r="C194" s="5" t="str">
        <f aca="false">IF(OR(BOM!$D200="",BOM!$R200="Cancelled"),"",IF(BOM!C200="","",BOM!C200))</f>
        <v/>
      </c>
      <c r="D194" s="5" t="str">
        <f aca="false">IF(OR(BOM!$D200="",BOM!$R200="Cancelled"),"",IF(BOM!D200="","",BOM!D200))</f>
        <v/>
      </c>
      <c r="E194" s="5" t="str">
        <f aca="false">IF(OR(BOM!$D200="",BOM!$R200="Cancelled"),"",IF(BOM!E200="","",BOM!E200))</f>
        <v/>
      </c>
      <c r="F194" s="5" t="str">
        <f aca="false">IF(OR(BOM!$D200="",BOM!$R200="Cancelled"),"",IF(BOM!F200="","",BOM!F200))</f>
        <v/>
      </c>
      <c r="G194" s="5" t="str">
        <f aca="false">IF(OR(BOM!$D200="",BOM!$R200="Cancelled"),"",IF(BOM!J200="","",BOM!J200))</f>
        <v/>
      </c>
      <c r="H194" s="5" t="str">
        <f aca="false">IF(OR(BOM!$D200="",BOM!$R200="Cancelled"),"",IF(BOM!K200="","",BOM!K200))</f>
        <v/>
      </c>
      <c r="I194" s="5" t="str">
        <f aca="false">IF(OR(BOM!$D200="",BOM!$R200="Cancelled"),"",IF(BOM!M200="","",BOM!M200))</f>
        <v/>
      </c>
      <c r="J194" s="5" t="str">
        <f aca="false">IF(OR(BOM!$D200="",BOM!$R200="Cancelled"),"",IF(OR(BOM!R200="Received",BOM!R200="NSW Purchased"),"Received",IF(BOM!R200="Purchased – Not Received","Ordered",IF(BOM!R200="Finalized – Not Purchased","Design Released","In Design"))))</f>
        <v/>
      </c>
      <c r="K194" s="52" t="str">
        <f aca="false">IF(OR(BOM!$D200="",BOM!$R200="Cancelled"),"",IF(BOM!W200="","",BOM!W200))</f>
        <v/>
      </c>
    </row>
    <row r="195" customFormat="false" ht="15" hidden="false" customHeight="false" outlineLevel="0" collapsed="false">
      <c r="A195" s="5" t="str">
        <f aca="false">IF(OR(BOM!$D201="",BOM!$R201="Cancelled"),"",IF(BOM!A201="","",BOM!A201))</f>
        <v/>
      </c>
      <c r="B195" s="5" t="str">
        <f aca="false">IF(OR(BOM!$D201="",BOM!$R201="Cancelled"),"",IF(BOM!B201="","",BOM!B201))</f>
        <v/>
      </c>
      <c r="C195" s="5" t="str">
        <f aca="false">IF(OR(BOM!$D201="",BOM!$R201="Cancelled"),"",IF(BOM!C201="","",BOM!C201))</f>
        <v/>
      </c>
      <c r="D195" s="5" t="str">
        <f aca="false">IF(OR(BOM!$D201="",BOM!$R201="Cancelled"),"",IF(BOM!D201="","",BOM!D201))</f>
        <v/>
      </c>
      <c r="E195" s="5" t="str">
        <f aca="false">IF(OR(BOM!$D201="",BOM!$R201="Cancelled"),"",IF(BOM!E201="","",BOM!E201))</f>
        <v/>
      </c>
      <c r="F195" s="5" t="str">
        <f aca="false">IF(OR(BOM!$D201="",BOM!$R201="Cancelled"),"",IF(BOM!F201="","",BOM!F201))</f>
        <v/>
      </c>
      <c r="G195" s="5" t="str">
        <f aca="false">IF(OR(BOM!$D201="",BOM!$R201="Cancelled"),"",IF(BOM!J201="","",BOM!J201))</f>
        <v/>
      </c>
      <c r="H195" s="5" t="str">
        <f aca="false">IF(OR(BOM!$D201="",BOM!$R201="Cancelled"),"",IF(BOM!K201="","",BOM!K201))</f>
        <v/>
      </c>
      <c r="I195" s="5" t="str">
        <f aca="false">IF(OR(BOM!$D201="",BOM!$R201="Cancelled"),"",IF(BOM!M201="","",BOM!M201))</f>
        <v/>
      </c>
      <c r="J195" s="5" t="str">
        <f aca="false">IF(OR(BOM!$D201="",BOM!$R201="Cancelled"),"",IF(OR(BOM!R201="Received",BOM!R201="NSW Purchased"),"Received",IF(BOM!R201="Purchased – Not Received","Ordered",IF(BOM!R201="Finalized – Not Purchased","Design Released","In Design"))))</f>
        <v/>
      </c>
      <c r="K195" s="52" t="str">
        <f aca="false">IF(OR(BOM!$D201="",BOM!$R201="Cancelled"),"",IF(BOM!W201="","",BOM!W201))</f>
        <v/>
      </c>
    </row>
    <row r="196" customFormat="false" ht="15" hidden="false" customHeight="false" outlineLevel="0" collapsed="false">
      <c r="A196" s="5" t="str">
        <f aca="false">IF(OR(BOM!$D202="",BOM!$R202="Cancelled"),"",IF(BOM!A202="","",BOM!A202))</f>
        <v/>
      </c>
      <c r="B196" s="5" t="str">
        <f aca="false">IF(OR(BOM!$D202="",BOM!$R202="Cancelled"),"",IF(BOM!B202="","",BOM!B202))</f>
        <v/>
      </c>
      <c r="C196" s="5" t="str">
        <f aca="false">IF(OR(BOM!$D202="",BOM!$R202="Cancelled"),"",IF(BOM!C202="","",BOM!C202))</f>
        <v/>
      </c>
      <c r="D196" s="5" t="str">
        <f aca="false">IF(OR(BOM!$D202="",BOM!$R202="Cancelled"),"",IF(BOM!D202="","",BOM!D202))</f>
        <v/>
      </c>
      <c r="E196" s="5" t="str">
        <f aca="false">IF(OR(BOM!$D202="",BOM!$R202="Cancelled"),"",IF(BOM!E202="","",BOM!E202))</f>
        <v/>
      </c>
      <c r="F196" s="5" t="str">
        <f aca="false">IF(OR(BOM!$D202="",BOM!$R202="Cancelled"),"",IF(BOM!F202="","",BOM!F202))</f>
        <v/>
      </c>
      <c r="G196" s="5" t="str">
        <f aca="false">IF(OR(BOM!$D202="",BOM!$R202="Cancelled"),"",IF(BOM!J202="","",BOM!J202))</f>
        <v/>
      </c>
      <c r="H196" s="5" t="str">
        <f aca="false">IF(OR(BOM!$D202="",BOM!$R202="Cancelled"),"",IF(BOM!K202="","",BOM!K202))</f>
        <v/>
      </c>
      <c r="I196" s="5" t="str">
        <f aca="false">IF(OR(BOM!$D202="",BOM!$R202="Cancelled"),"",IF(BOM!M202="","",BOM!M202))</f>
        <v/>
      </c>
      <c r="J196" s="5" t="str">
        <f aca="false">IF(OR(BOM!$D202="",BOM!$R202="Cancelled"),"",IF(OR(BOM!R202="Received",BOM!R202="NSW Purchased"),"Received",IF(BOM!R202="Purchased – Not Received","Ordered",IF(BOM!R202="Finalized – Not Purchased","Design Released","In Design"))))</f>
        <v/>
      </c>
      <c r="K196" s="52" t="str">
        <f aca="false">IF(OR(BOM!$D202="",BOM!$R202="Cancelled"),"",IF(BOM!W202="","",BOM!W202))</f>
        <v/>
      </c>
    </row>
    <row r="197" customFormat="false" ht="15" hidden="false" customHeight="false" outlineLevel="0" collapsed="false">
      <c r="A197" s="5" t="str">
        <f aca="false">IF(OR(BOM!$D203="",BOM!$R203="Cancelled"),"",IF(BOM!A203="","",BOM!A203))</f>
        <v/>
      </c>
      <c r="B197" s="5" t="str">
        <f aca="false">IF(OR(BOM!$D203="",BOM!$R203="Cancelled"),"",IF(BOM!B203="","",BOM!B203))</f>
        <v/>
      </c>
      <c r="C197" s="5" t="str">
        <f aca="false">IF(OR(BOM!$D203="",BOM!$R203="Cancelled"),"",IF(BOM!C203="","",BOM!C203))</f>
        <v/>
      </c>
      <c r="D197" s="5" t="str">
        <f aca="false">IF(OR(BOM!$D203="",BOM!$R203="Cancelled"),"",IF(BOM!D203="","",BOM!D203))</f>
        <v/>
      </c>
      <c r="E197" s="5" t="str">
        <f aca="false">IF(OR(BOM!$D203="",BOM!$R203="Cancelled"),"",IF(BOM!E203="","",BOM!E203))</f>
        <v/>
      </c>
      <c r="F197" s="5" t="str">
        <f aca="false">IF(OR(BOM!$D203="",BOM!$R203="Cancelled"),"",IF(BOM!F203="","",BOM!F203))</f>
        <v/>
      </c>
      <c r="G197" s="5" t="str">
        <f aca="false">IF(OR(BOM!$D203="",BOM!$R203="Cancelled"),"",IF(BOM!J203="","",BOM!J203))</f>
        <v/>
      </c>
      <c r="H197" s="5" t="str">
        <f aca="false">IF(OR(BOM!$D203="",BOM!$R203="Cancelled"),"",IF(BOM!K203="","",BOM!K203))</f>
        <v/>
      </c>
      <c r="I197" s="5" t="str">
        <f aca="false">IF(OR(BOM!$D203="",BOM!$R203="Cancelled"),"",IF(BOM!M203="","",BOM!M203))</f>
        <v/>
      </c>
      <c r="J197" s="5" t="str">
        <f aca="false">IF(OR(BOM!$D203="",BOM!$R203="Cancelled"),"",IF(OR(BOM!R203="Received",BOM!R203="NSW Purchased"),"Received",IF(BOM!R203="Purchased – Not Received","Ordered",IF(BOM!R203="Finalized – Not Purchased","Design Released","In Design"))))</f>
        <v/>
      </c>
      <c r="K197" s="52" t="str">
        <f aca="false">IF(OR(BOM!$D203="",BOM!$R203="Cancelled"),"",IF(BOM!W203="","",BOM!W203))</f>
        <v/>
      </c>
    </row>
    <row r="198" customFormat="false" ht="15" hidden="false" customHeight="false" outlineLevel="0" collapsed="false">
      <c r="A198" s="5" t="str">
        <f aca="false">IF(OR(BOM!$D204="",BOM!$R204="Cancelled"),"",IF(BOM!A204="","",BOM!A204))</f>
        <v/>
      </c>
      <c r="B198" s="5" t="str">
        <f aca="false">IF(OR(BOM!$D204="",BOM!$R204="Cancelled"),"",IF(BOM!B204="","",BOM!B204))</f>
        <v/>
      </c>
      <c r="C198" s="5" t="str">
        <f aca="false">IF(OR(BOM!$D204="",BOM!$R204="Cancelled"),"",IF(BOM!C204="","",BOM!C204))</f>
        <v/>
      </c>
      <c r="D198" s="5" t="str">
        <f aca="false">IF(OR(BOM!$D204="",BOM!$R204="Cancelled"),"",IF(BOM!D204="","",BOM!D204))</f>
        <v/>
      </c>
      <c r="E198" s="5" t="str">
        <f aca="false">IF(OR(BOM!$D204="",BOM!$R204="Cancelled"),"",IF(BOM!E204="","",BOM!E204))</f>
        <v/>
      </c>
      <c r="F198" s="5" t="str">
        <f aca="false">IF(OR(BOM!$D204="",BOM!$R204="Cancelled"),"",IF(BOM!F204="","",BOM!F204))</f>
        <v/>
      </c>
      <c r="G198" s="5" t="str">
        <f aca="false">IF(OR(BOM!$D204="",BOM!$R204="Cancelled"),"",IF(BOM!J204="","",BOM!J204))</f>
        <v/>
      </c>
      <c r="H198" s="5" t="str">
        <f aca="false">IF(OR(BOM!$D204="",BOM!$R204="Cancelled"),"",IF(BOM!K204="","",BOM!K204))</f>
        <v/>
      </c>
      <c r="I198" s="5" t="str">
        <f aca="false">IF(OR(BOM!$D204="",BOM!$R204="Cancelled"),"",IF(BOM!M204="","",BOM!M204))</f>
        <v/>
      </c>
      <c r="J198" s="5" t="str">
        <f aca="false">IF(OR(BOM!$D204="",BOM!$R204="Cancelled"),"",IF(OR(BOM!R204="Received",BOM!R204="NSW Purchased"),"Received",IF(BOM!R204="Purchased – Not Received","Ordered",IF(BOM!R204="Finalized – Not Purchased","Design Released","In Design"))))</f>
        <v/>
      </c>
      <c r="K198" s="52" t="str">
        <f aca="false">IF(OR(BOM!$D204="",BOM!$R204="Cancelled"),"",IF(BOM!W204="","",BOM!W204))</f>
        <v/>
      </c>
    </row>
    <row r="199" customFormat="false" ht="15" hidden="false" customHeight="false" outlineLevel="0" collapsed="false">
      <c r="A199" s="5" t="str">
        <f aca="false">IF(OR(BOM!$D205="",BOM!$R205="Cancelled"),"",IF(BOM!A205="","",BOM!A205))</f>
        <v/>
      </c>
      <c r="B199" s="5" t="str">
        <f aca="false">IF(OR(BOM!$D205="",BOM!$R205="Cancelled"),"",IF(BOM!B205="","",BOM!B205))</f>
        <v/>
      </c>
      <c r="C199" s="5" t="str">
        <f aca="false">IF(OR(BOM!$D205="",BOM!$R205="Cancelled"),"",IF(BOM!C205="","",BOM!C205))</f>
        <v/>
      </c>
      <c r="D199" s="5" t="str">
        <f aca="false">IF(OR(BOM!$D205="",BOM!$R205="Cancelled"),"",IF(BOM!D205="","",BOM!D205))</f>
        <v/>
      </c>
      <c r="E199" s="5" t="str">
        <f aca="false">IF(OR(BOM!$D205="",BOM!$R205="Cancelled"),"",IF(BOM!E205="","",BOM!E205))</f>
        <v/>
      </c>
      <c r="F199" s="5" t="str">
        <f aca="false">IF(OR(BOM!$D205="",BOM!$R205="Cancelled"),"",IF(BOM!F205="","",BOM!F205))</f>
        <v/>
      </c>
      <c r="G199" s="5" t="str">
        <f aca="false">IF(OR(BOM!$D205="",BOM!$R205="Cancelled"),"",IF(BOM!J205="","",BOM!J205))</f>
        <v/>
      </c>
      <c r="H199" s="5" t="str">
        <f aca="false">IF(OR(BOM!$D205="",BOM!$R205="Cancelled"),"",IF(BOM!K205="","",BOM!K205))</f>
        <v/>
      </c>
      <c r="I199" s="5" t="str">
        <f aca="false">IF(OR(BOM!$D205="",BOM!$R205="Cancelled"),"",IF(BOM!M205="","",BOM!M205))</f>
        <v/>
      </c>
      <c r="J199" s="5" t="str">
        <f aca="false">IF(OR(BOM!$D205="",BOM!$R205="Cancelled"),"",IF(OR(BOM!R205="Received",BOM!R205="NSW Purchased"),"Received",IF(BOM!R205="Purchased – Not Received","Ordered",IF(BOM!R205="Finalized – Not Purchased","Design Released","In Design"))))</f>
        <v/>
      </c>
      <c r="K199" s="52" t="str">
        <f aca="false">IF(OR(BOM!$D205="",BOM!$R205="Cancelled"),"",IF(BOM!W205="","",BOM!W205))</f>
        <v/>
      </c>
    </row>
    <row r="200" customFormat="false" ht="15" hidden="false" customHeight="false" outlineLevel="0" collapsed="false">
      <c r="A200" s="5" t="str">
        <f aca="false">IF(OR(BOM!$D206="",BOM!$R206="Cancelled"),"",IF(BOM!A206="","",BOM!A206))</f>
        <v/>
      </c>
      <c r="B200" s="5" t="str">
        <f aca="false">IF(OR(BOM!$D206="",BOM!$R206="Cancelled"),"",IF(BOM!B206="","",BOM!B206))</f>
        <v/>
      </c>
      <c r="C200" s="5" t="str">
        <f aca="false">IF(OR(BOM!$D206="",BOM!$R206="Cancelled"),"",IF(BOM!C206="","",BOM!C206))</f>
        <v/>
      </c>
      <c r="D200" s="5" t="str">
        <f aca="false">IF(OR(BOM!$D206="",BOM!$R206="Cancelled"),"",IF(BOM!D206="","",BOM!D206))</f>
        <v/>
      </c>
      <c r="E200" s="5" t="str">
        <f aca="false">IF(OR(BOM!$D206="",BOM!$R206="Cancelled"),"",IF(BOM!E206="","",BOM!E206))</f>
        <v/>
      </c>
      <c r="F200" s="5" t="str">
        <f aca="false">IF(OR(BOM!$D206="",BOM!$R206="Cancelled"),"",IF(BOM!F206="","",BOM!F206))</f>
        <v/>
      </c>
      <c r="G200" s="5" t="str">
        <f aca="false">IF(OR(BOM!$D206="",BOM!$R206="Cancelled"),"",IF(BOM!J206="","",BOM!J206))</f>
        <v/>
      </c>
      <c r="H200" s="5" t="str">
        <f aca="false">IF(OR(BOM!$D206="",BOM!$R206="Cancelled"),"",IF(BOM!K206="","",BOM!K206))</f>
        <v/>
      </c>
      <c r="I200" s="5" t="str">
        <f aca="false">IF(OR(BOM!$D206="",BOM!$R206="Cancelled"),"",IF(BOM!M206="","",BOM!M206))</f>
        <v/>
      </c>
      <c r="J200" s="5" t="str">
        <f aca="false">IF(OR(BOM!$D206="",BOM!$R206="Cancelled"),"",IF(OR(BOM!R206="Received",BOM!R206="NSW Purchased"),"Received",IF(BOM!R206="Purchased – Not Received","Ordered",IF(BOM!R206="Finalized – Not Purchased","Design Released","In Design"))))</f>
        <v/>
      </c>
      <c r="K200" s="52" t="str">
        <f aca="false">IF(OR(BOM!$D206="",BOM!$R206="Cancelled"),"",IF(BOM!W206="","",BOM!W206))</f>
        <v/>
      </c>
    </row>
    <row r="201" customFormat="false" ht="15" hidden="false" customHeight="false" outlineLevel="0" collapsed="false">
      <c r="A201" s="5" t="str">
        <f aca="false">IF(OR(BOM!$D207="",BOM!$R207="Cancelled"),"",IF(BOM!A207="","",BOM!A207))</f>
        <v/>
      </c>
      <c r="B201" s="5" t="str">
        <f aca="false">IF(OR(BOM!$D207="",BOM!$R207="Cancelled"),"",IF(BOM!B207="","",BOM!B207))</f>
        <v/>
      </c>
      <c r="C201" s="5" t="str">
        <f aca="false">IF(OR(BOM!$D207="",BOM!$R207="Cancelled"),"",IF(BOM!C207="","",BOM!C207))</f>
        <v/>
      </c>
      <c r="D201" s="5" t="str">
        <f aca="false">IF(OR(BOM!$D207="",BOM!$R207="Cancelled"),"",IF(BOM!D207="","",BOM!D207))</f>
        <v/>
      </c>
      <c r="E201" s="5" t="str">
        <f aca="false">IF(OR(BOM!$D207="",BOM!$R207="Cancelled"),"",IF(BOM!E207="","",BOM!E207))</f>
        <v/>
      </c>
      <c r="F201" s="5" t="str">
        <f aca="false">IF(OR(BOM!$D207="",BOM!$R207="Cancelled"),"",IF(BOM!F207="","",BOM!F207))</f>
        <v/>
      </c>
      <c r="G201" s="5" t="str">
        <f aca="false">IF(OR(BOM!$D207="",BOM!$R207="Cancelled"),"",IF(BOM!J207="","",BOM!J207))</f>
        <v/>
      </c>
      <c r="H201" s="5" t="str">
        <f aca="false">IF(OR(BOM!$D207="",BOM!$R207="Cancelled"),"",IF(BOM!K207="","",BOM!K207))</f>
        <v/>
      </c>
      <c r="I201" s="5" t="str">
        <f aca="false">IF(OR(BOM!$D207="",BOM!$R207="Cancelled"),"",IF(BOM!M207="","",BOM!M207))</f>
        <v/>
      </c>
      <c r="J201" s="5" t="str">
        <f aca="false">IF(OR(BOM!$D207="",BOM!$R207="Cancelled"),"",IF(OR(BOM!R207="Received",BOM!R207="NSW Purchased"),"Received",IF(BOM!R207="Purchased – Not Received","Ordered",IF(BOM!R207="Finalized – Not Purchased","Design Released","In Design"))))</f>
        <v/>
      </c>
      <c r="K201" s="52" t="str">
        <f aca="false">IF(OR(BOM!$D207="",BOM!$R207="Cancelled"),"",IF(BOM!W207="","",BOM!W207))</f>
        <v/>
      </c>
    </row>
    <row r="202" customFormat="false" ht="15" hidden="false" customHeight="false" outlineLevel="0" collapsed="false">
      <c r="A202" s="5" t="str">
        <f aca="false">IF(OR(BOM!$D208="",BOM!$R208="Cancelled"),"",IF(BOM!A208="","",BOM!A208))</f>
        <v/>
      </c>
      <c r="B202" s="5" t="str">
        <f aca="false">IF(OR(BOM!$D208="",BOM!$R208="Cancelled"),"",IF(BOM!B208="","",BOM!B208))</f>
        <v/>
      </c>
      <c r="C202" s="5" t="str">
        <f aca="false">IF(OR(BOM!$D208="",BOM!$R208="Cancelled"),"",IF(BOM!C208="","",BOM!C208))</f>
        <v/>
      </c>
      <c r="D202" s="5" t="str">
        <f aca="false">IF(OR(BOM!$D208="",BOM!$R208="Cancelled"),"",IF(BOM!D208="","",BOM!D208))</f>
        <v/>
      </c>
      <c r="E202" s="5" t="str">
        <f aca="false">IF(OR(BOM!$D208="",BOM!$R208="Cancelled"),"",IF(BOM!E208="","",BOM!E208))</f>
        <v/>
      </c>
      <c r="F202" s="5" t="str">
        <f aca="false">IF(OR(BOM!$D208="",BOM!$R208="Cancelled"),"",IF(BOM!F208="","",BOM!F208))</f>
        <v/>
      </c>
      <c r="G202" s="5" t="str">
        <f aca="false">IF(OR(BOM!$D208="",BOM!$R208="Cancelled"),"",IF(BOM!J208="","",BOM!J208))</f>
        <v/>
      </c>
      <c r="H202" s="5" t="str">
        <f aca="false">IF(OR(BOM!$D208="",BOM!$R208="Cancelled"),"",IF(BOM!K208="","",BOM!K208))</f>
        <v/>
      </c>
      <c r="I202" s="5" t="str">
        <f aca="false">IF(OR(BOM!$D208="",BOM!$R208="Cancelled"),"",IF(BOM!M208="","",BOM!M208))</f>
        <v/>
      </c>
      <c r="J202" s="5" t="str">
        <f aca="false">IF(OR(BOM!$D208="",BOM!$R208="Cancelled"),"",IF(OR(BOM!R208="Received",BOM!R208="NSW Purchased"),"Received",IF(BOM!R208="Purchased – Not Received","Ordered",IF(BOM!R208="Finalized – Not Purchased","Design Released","In Design"))))</f>
        <v/>
      </c>
      <c r="K202" s="52" t="str">
        <f aca="false">IF(OR(BOM!$D208="",BOM!$R208="Cancelled"),"",IF(BOM!W208="","",BOM!W208))</f>
        <v/>
      </c>
    </row>
    <row r="203" customFormat="false" ht="15" hidden="false" customHeight="false" outlineLevel="0" collapsed="false">
      <c r="A203" s="5" t="str">
        <f aca="false">IF(OR(BOM!$D209="",BOM!$R209="Cancelled"),"",IF(BOM!A209="","",BOM!A209))</f>
        <v/>
      </c>
      <c r="B203" s="5" t="str">
        <f aca="false">IF(OR(BOM!$D209="",BOM!$R209="Cancelled"),"",IF(BOM!B209="","",BOM!B209))</f>
        <v/>
      </c>
      <c r="C203" s="5" t="str">
        <f aca="false">IF(OR(BOM!$D209="",BOM!$R209="Cancelled"),"",IF(BOM!C209="","",BOM!C209))</f>
        <v/>
      </c>
      <c r="D203" s="5" t="str">
        <f aca="false">IF(OR(BOM!$D209="",BOM!$R209="Cancelled"),"",IF(BOM!D209="","",BOM!D209))</f>
        <v/>
      </c>
      <c r="E203" s="5" t="str">
        <f aca="false">IF(OR(BOM!$D209="",BOM!$R209="Cancelled"),"",IF(BOM!E209="","",BOM!E209))</f>
        <v/>
      </c>
      <c r="F203" s="5" t="str">
        <f aca="false">IF(OR(BOM!$D209="",BOM!$R209="Cancelled"),"",IF(BOM!F209="","",BOM!F209))</f>
        <v/>
      </c>
      <c r="G203" s="5" t="str">
        <f aca="false">IF(OR(BOM!$D209="",BOM!$R209="Cancelled"),"",IF(BOM!J209="","",BOM!J209))</f>
        <v/>
      </c>
      <c r="H203" s="5" t="str">
        <f aca="false">IF(OR(BOM!$D209="",BOM!$R209="Cancelled"),"",IF(BOM!K209="","",BOM!K209))</f>
        <v/>
      </c>
      <c r="I203" s="5" t="str">
        <f aca="false">IF(OR(BOM!$D209="",BOM!$R209="Cancelled"),"",IF(BOM!M209="","",BOM!M209))</f>
        <v/>
      </c>
      <c r="J203" s="5" t="str">
        <f aca="false">IF(OR(BOM!$D209="",BOM!$R209="Cancelled"),"",IF(OR(BOM!R209="Received",BOM!R209="NSW Purchased"),"Received",IF(BOM!R209="Purchased – Not Received","Ordered",IF(BOM!R209="Finalized – Not Purchased","Design Released","In Design"))))</f>
        <v/>
      </c>
      <c r="K203" s="52" t="str">
        <f aca="false">IF(OR(BOM!$D209="",BOM!$R209="Cancelled"),"",IF(BOM!W209="","",BOM!W209))</f>
        <v/>
      </c>
    </row>
    <row r="204" customFormat="false" ht="15" hidden="false" customHeight="false" outlineLevel="0" collapsed="false">
      <c r="A204" s="5" t="str">
        <f aca="false">IF(OR(BOM!$D210="",BOM!$R210="Cancelled"),"",IF(BOM!A210="","",BOM!A210))</f>
        <v/>
      </c>
      <c r="B204" s="5" t="str">
        <f aca="false">IF(OR(BOM!$D210="",BOM!$R210="Cancelled"),"",IF(BOM!B210="","",BOM!B210))</f>
        <v/>
      </c>
      <c r="C204" s="5" t="str">
        <f aca="false">IF(OR(BOM!$D210="",BOM!$R210="Cancelled"),"",IF(BOM!C210="","",BOM!C210))</f>
        <v/>
      </c>
      <c r="D204" s="5" t="str">
        <f aca="false">IF(OR(BOM!$D210="",BOM!$R210="Cancelled"),"",IF(BOM!D210="","",BOM!D210))</f>
        <v/>
      </c>
      <c r="E204" s="5" t="str">
        <f aca="false">IF(OR(BOM!$D210="",BOM!$R210="Cancelled"),"",IF(BOM!E210="","",BOM!E210))</f>
        <v/>
      </c>
      <c r="F204" s="5" t="str">
        <f aca="false">IF(OR(BOM!$D210="",BOM!$R210="Cancelled"),"",IF(BOM!F210="","",BOM!F210))</f>
        <v/>
      </c>
      <c r="G204" s="5" t="str">
        <f aca="false">IF(OR(BOM!$D210="",BOM!$R210="Cancelled"),"",IF(BOM!J210="","",BOM!J210))</f>
        <v/>
      </c>
      <c r="H204" s="5" t="str">
        <f aca="false">IF(OR(BOM!$D210="",BOM!$R210="Cancelled"),"",IF(BOM!K210="","",BOM!K210))</f>
        <v/>
      </c>
      <c r="I204" s="5" t="str">
        <f aca="false">IF(OR(BOM!$D210="",BOM!$R210="Cancelled"),"",IF(BOM!M210="","",BOM!M210))</f>
        <v/>
      </c>
      <c r="J204" s="5" t="str">
        <f aca="false">IF(OR(BOM!$D210="",BOM!$R210="Cancelled"),"",IF(OR(BOM!R210="Received",BOM!R210="NSW Purchased"),"Received",IF(BOM!R210="Purchased – Not Received","Ordered",IF(BOM!R210="Finalized – Not Purchased","Design Released","In Design"))))</f>
        <v/>
      </c>
      <c r="K204" s="52" t="str">
        <f aca="false">IF(OR(BOM!$D210="",BOM!$R210="Cancelled"),"",IF(BOM!W210="","",BOM!W210))</f>
        <v/>
      </c>
    </row>
    <row r="205" customFormat="false" ht="15" hidden="false" customHeight="false" outlineLevel="0" collapsed="false">
      <c r="A205" s="5" t="str">
        <f aca="false">IF(OR(BOM!$D211="",BOM!$R211="Cancelled"),"",IF(BOM!A211="","",BOM!A211))</f>
        <v/>
      </c>
      <c r="B205" s="5" t="str">
        <f aca="false">IF(OR(BOM!$D211="",BOM!$R211="Cancelled"),"",IF(BOM!B211="","",BOM!B211))</f>
        <v/>
      </c>
      <c r="C205" s="5" t="str">
        <f aca="false">IF(OR(BOM!$D211="",BOM!$R211="Cancelled"),"",IF(BOM!C211="","",BOM!C211))</f>
        <v/>
      </c>
      <c r="D205" s="5" t="str">
        <f aca="false">IF(OR(BOM!$D211="",BOM!$R211="Cancelled"),"",IF(BOM!D211="","",BOM!D211))</f>
        <v/>
      </c>
      <c r="E205" s="5" t="str">
        <f aca="false">IF(OR(BOM!$D211="",BOM!$R211="Cancelled"),"",IF(BOM!E211="","",BOM!E211))</f>
        <v/>
      </c>
      <c r="F205" s="5" t="str">
        <f aca="false">IF(OR(BOM!$D211="",BOM!$R211="Cancelled"),"",IF(BOM!F211="","",BOM!F211))</f>
        <v/>
      </c>
      <c r="G205" s="5" t="str">
        <f aca="false">IF(OR(BOM!$D211="",BOM!$R211="Cancelled"),"",IF(BOM!J211="","",BOM!J211))</f>
        <v/>
      </c>
      <c r="H205" s="5" t="str">
        <f aca="false">IF(OR(BOM!$D211="",BOM!$R211="Cancelled"),"",IF(BOM!K211="","",BOM!K211))</f>
        <v/>
      </c>
      <c r="I205" s="5" t="str">
        <f aca="false">IF(OR(BOM!$D211="",BOM!$R211="Cancelled"),"",IF(BOM!M211="","",BOM!M211))</f>
        <v/>
      </c>
      <c r="J205" s="5" t="str">
        <f aca="false">IF(OR(BOM!$D211="",BOM!$R211="Cancelled"),"",IF(OR(BOM!R211="Received",BOM!R211="NSW Purchased"),"Received",IF(BOM!R211="Purchased – Not Received","Ordered",IF(BOM!R211="Finalized – Not Purchased","Design Released","In Design"))))</f>
        <v/>
      </c>
      <c r="K205" s="52" t="str">
        <f aca="false">IF(OR(BOM!$D211="",BOM!$R211="Cancelled"),"",IF(BOM!W211="","",BOM!W211))</f>
        <v/>
      </c>
    </row>
    <row r="206" customFormat="false" ht="15" hidden="false" customHeight="false" outlineLevel="0" collapsed="false">
      <c r="A206" s="5" t="str">
        <f aca="false">IF(OR(BOM!$D212="",BOM!$R212="Cancelled"),"",IF(BOM!A212="","",BOM!A212))</f>
        <v/>
      </c>
      <c r="B206" s="5" t="str">
        <f aca="false">IF(OR(BOM!$D212="",BOM!$R212="Cancelled"),"",IF(BOM!B212="","",BOM!B212))</f>
        <v/>
      </c>
      <c r="C206" s="5" t="str">
        <f aca="false">IF(OR(BOM!$D212="",BOM!$R212="Cancelled"),"",IF(BOM!C212="","",BOM!C212))</f>
        <v/>
      </c>
      <c r="D206" s="5" t="str">
        <f aca="false">IF(OR(BOM!$D212="",BOM!$R212="Cancelled"),"",IF(BOM!D212="","",BOM!D212))</f>
        <v/>
      </c>
      <c r="E206" s="5" t="str">
        <f aca="false">IF(OR(BOM!$D212="",BOM!$R212="Cancelled"),"",IF(BOM!E212="","",BOM!E212))</f>
        <v/>
      </c>
      <c r="F206" s="5" t="str">
        <f aca="false">IF(OR(BOM!$D212="",BOM!$R212="Cancelled"),"",IF(BOM!F212="","",BOM!F212))</f>
        <v/>
      </c>
      <c r="G206" s="5" t="str">
        <f aca="false">IF(OR(BOM!$D212="",BOM!$R212="Cancelled"),"",IF(BOM!J212="","",BOM!J212))</f>
        <v/>
      </c>
      <c r="H206" s="5" t="str">
        <f aca="false">IF(OR(BOM!$D212="",BOM!$R212="Cancelled"),"",IF(BOM!K212="","",BOM!K212))</f>
        <v/>
      </c>
      <c r="I206" s="5" t="str">
        <f aca="false">IF(OR(BOM!$D212="",BOM!$R212="Cancelled"),"",IF(BOM!M212="","",BOM!M212))</f>
        <v/>
      </c>
      <c r="J206" s="5" t="str">
        <f aca="false">IF(OR(BOM!$D212="",BOM!$R212="Cancelled"),"",IF(OR(BOM!R212="Received",BOM!R212="NSW Purchased"),"Received",IF(BOM!R212="Purchased – Not Received","Ordered",IF(BOM!R212="Finalized – Not Purchased","Design Released","In Design"))))</f>
        <v/>
      </c>
      <c r="K206" s="52" t="str">
        <f aca="false">IF(OR(BOM!$D212="",BOM!$R212="Cancelled"),"",IF(BOM!W212="","",BOM!W212))</f>
        <v/>
      </c>
    </row>
    <row r="207" customFormat="false" ht="15" hidden="false" customHeight="false" outlineLevel="0" collapsed="false">
      <c r="A207" s="5" t="str">
        <f aca="false">IF(OR(BOM!$D213="",BOM!$R213="Cancelled"),"",IF(BOM!A213="","",BOM!A213))</f>
        <v/>
      </c>
      <c r="B207" s="5" t="str">
        <f aca="false">IF(OR(BOM!$D213="",BOM!$R213="Cancelled"),"",IF(BOM!B213="","",BOM!B213))</f>
        <v/>
      </c>
      <c r="C207" s="5" t="str">
        <f aca="false">IF(OR(BOM!$D213="",BOM!$R213="Cancelled"),"",IF(BOM!C213="","",BOM!C213))</f>
        <v/>
      </c>
      <c r="D207" s="5" t="str">
        <f aca="false">IF(OR(BOM!$D213="",BOM!$R213="Cancelled"),"",IF(BOM!D213="","",BOM!D213))</f>
        <v/>
      </c>
      <c r="E207" s="5" t="str">
        <f aca="false">IF(OR(BOM!$D213="",BOM!$R213="Cancelled"),"",IF(BOM!E213="","",BOM!E213))</f>
        <v/>
      </c>
      <c r="F207" s="5" t="str">
        <f aca="false">IF(OR(BOM!$D213="",BOM!$R213="Cancelled"),"",IF(BOM!F213="","",BOM!F213))</f>
        <v/>
      </c>
      <c r="G207" s="5" t="str">
        <f aca="false">IF(OR(BOM!$D213="",BOM!$R213="Cancelled"),"",IF(BOM!J213="","",BOM!J213))</f>
        <v/>
      </c>
      <c r="H207" s="5" t="str">
        <f aca="false">IF(OR(BOM!$D213="",BOM!$R213="Cancelled"),"",IF(BOM!K213="","",BOM!K213))</f>
        <v/>
      </c>
      <c r="I207" s="5" t="str">
        <f aca="false">IF(OR(BOM!$D213="",BOM!$R213="Cancelled"),"",IF(BOM!M213="","",BOM!M213))</f>
        <v/>
      </c>
      <c r="J207" s="5" t="str">
        <f aca="false">IF(OR(BOM!$D213="",BOM!$R213="Cancelled"),"",IF(OR(BOM!R213="Received",BOM!R213="NSW Purchased"),"Received",IF(BOM!R213="Purchased – Not Received","Ordered",IF(BOM!R213="Finalized – Not Purchased","Design Released","In Design"))))</f>
        <v/>
      </c>
      <c r="K207" s="52" t="str">
        <f aca="false">IF(OR(BOM!$D213="",BOM!$R213="Cancelled"),"",IF(BOM!W213="","",BOM!W213))</f>
        <v/>
      </c>
    </row>
    <row r="208" customFormat="false" ht="15" hidden="false" customHeight="false" outlineLevel="0" collapsed="false">
      <c r="A208" s="5" t="str">
        <f aca="false">IF(OR(BOM!$D214="",BOM!$R214="Cancelled"),"",IF(BOM!A214="","",BOM!A214))</f>
        <v/>
      </c>
      <c r="B208" s="5" t="str">
        <f aca="false">IF(OR(BOM!$D214="",BOM!$R214="Cancelled"),"",IF(BOM!B214="","",BOM!B214))</f>
        <v/>
      </c>
      <c r="C208" s="5" t="str">
        <f aca="false">IF(OR(BOM!$D214="",BOM!$R214="Cancelled"),"",IF(BOM!C214="","",BOM!C214))</f>
        <v/>
      </c>
      <c r="D208" s="5" t="str">
        <f aca="false">IF(OR(BOM!$D214="",BOM!$R214="Cancelled"),"",IF(BOM!D214="","",BOM!D214))</f>
        <v/>
      </c>
      <c r="E208" s="5" t="str">
        <f aca="false">IF(OR(BOM!$D214="",BOM!$R214="Cancelled"),"",IF(BOM!E214="","",BOM!E214))</f>
        <v/>
      </c>
      <c r="F208" s="5" t="str">
        <f aca="false">IF(OR(BOM!$D214="",BOM!$R214="Cancelled"),"",IF(BOM!F214="","",BOM!F214))</f>
        <v/>
      </c>
      <c r="G208" s="5" t="str">
        <f aca="false">IF(OR(BOM!$D214="",BOM!$R214="Cancelled"),"",IF(BOM!J214="","",BOM!J214))</f>
        <v/>
      </c>
      <c r="H208" s="5" t="str">
        <f aca="false">IF(OR(BOM!$D214="",BOM!$R214="Cancelled"),"",IF(BOM!K214="","",BOM!K214))</f>
        <v/>
      </c>
      <c r="I208" s="5" t="str">
        <f aca="false">IF(OR(BOM!$D214="",BOM!$R214="Cancelled"),"",IF(BOM!M214="","",BOM!M214))</f>
        <v/>
      </c>
      <c r="J208" s="5" t="str">
        <f aca="false">IF(OR(BOM!$D214="",BOM!$R214="Cancelled"),"",IF(OR(BOM!R214="Received",BOM!R214="NSW Purchased"),"Received",IF(BOM!R214="Purchased – Not Received","Ordered",IF(BOM!R214="Finalized – Not Purchased","Design Released","In Design"))))</f>
        <v/>
      </c>
      <c r="K208" s="52" t="str">
        <f aca="false">IF(OR(BOM!$D214="",BOM!$R214="Cancelled"),"",IF(BOM!W214="","",BOM!W214))</f>
        <v/>
      </c>
    </row>
    <row r="209" customFormat="false" ht="15" hidden="false" customHeight="false" outlineLevel="0" collapsed="false">
      <c r="A209" s="5" t="str">
        <f aca="false">IF(OR(BOM!$D215="",BOM!$R215="Cancelled"),"",IF(BOM!A215="","",BOM!A215))</f>
        <v/>
      </c>
      <c r="B209" s="5" t="str">
        <f aca="false">IF(OR(BOM!$D215="",BOM!$R215="Cancelled"),"",IF(BOM!B215="","",BOM!B215))</f>
        <v/>
      </c>
      <c r="C209" s="5" t="str">
        <f aca="false">IF(OR(BOM!$D215="",BOM!$R215="Cancelled"),"",IF(BOM!C215="","",BOM!C215))</f>
        <v/>
      </c>
      <c r="D209" s="5" t="str">
        <f aca="false">IF(OR(BOM!$D215="",BOM!$R215="Cancelled"),"",IF(BOM!D215="","",BOM!D215))</f>
        <v/>
      </c>
      <c r="E209" s="5" t="str">
        <f aca="false">IF(OR(BOM!$D215="",BOM!$R215="Cancelled"),"",IF(BOM!E215="","",BOM!E215))</f>
        <v/>
      </c>
      <c r="F209" s="5" t="str">
        <f aca="false">IF(OR(BOM!$D215="",BOM!$R215="Cancelled"),"",IF(BOM!F215="","",BOM!F215))</f>
        <v/>
      </c>
      <c r="G209" s="5" t="str">
        <f aca="false">IF(OR(BOM!$D215="",BOM!$R215="Cancelled"),"",IF(BOM!J215="","",BOM!J215))</f>
        <v/>
      </c>
      <c r="H209" s="5" t="str">
        <f aca="false">IF(OR(BOM!$D215="",BOM!$R215="Cancelled"),"",IF(BOM!K215="","",BOM!K215))</f>
        <v/>
      </c>
      <c r="I209" s="5" t="str">
        <f aca="false">IF(OR(BOM!$D215="",BOM!$R215="Cancelled"),"",IF(BOM!M215="","",BOM!M215))</f>
        <v/>
      </c>
      <c r="J209" s="5" t="str">
        <f aca="false">IF(OR(BOM!$D215="",BOM!$R215="Cancelled"),"",IF(OR(BOM!R215="Received",BOM!R215="NSW Purchased"),"Received",IF(BOM!R215="Purchased – Not Received","Ordered",IF(BOM!R215="Finalized – Not Purchased","Design Released","In Design"))))</f>
        <v/>
      </c>
      <c r="K209" s="52" t="str">
        <f aca="false">IF(OR(BOM!$D215="",BOM!$R215="Cancelled"),"",IF(BOM!W215="","",BOM!W215))</f>
        <v/>
      </c>
    </row>
    <row r="210" customFormat="false" ht="15" hidden="false" customHeight="false" outlineLevel="0" collapsed="false">
      <c r="A210" s="5" t="str">
        <f aca="false">IF(OR(BOM!$D216="",BOM!$R216="Cancelled"),"",IF(BOM!A216="","",BOM!A216))</f>
        <v/>
      </c>
      <c r="B210" s="5" t="str">
        <f aca="false">IF(OR(BOM!$D216="",BOM!$R216="Cancelled"),"",IF(BOM!B216="","",BOM!B216))</f>
        <v/>
      </c>
      <c r="C210" s="5" t="str">
        <f aca="false">IF(OR(BOM!$D216="",BOM!$R216="Cancelled"),"",IF(BOM!C216="","",BOM!C216))</f>
        <v/>
      </c>
      <c r="D210" s="5" t="str">
        <f aca="false">IF(OR(BOM!$D216="",BOM!$R216="Cancelled"),"",IF(BOM!D216="","",BOM!D216))</f>
        <v/>
      </c>
      <c r="E210" s="5" t="str">
        <f aca="false">IF(OR(BOM!$D216="",BOM!$R216="Cancelled"),"",IF(BOM!E216="","",BOM!E216))</f>
        <v/>
      </c>
      <c r="F210" s="5" t="str">
        <f aca="false">IF(OR(BOM!$D216="",BOM!$R216="Cancelled"),"",IF(BOM!F216="","",BOM!F216))</f>
        <v/>
      </c>
      <c r="G210" s="5" t="str">
        <f aca="false">IF(OR(BOM!$D216="",BOM!$R216="Cancelled"),"",IF(BOM!J216="","",BOM!J216))</f>
        <v/>
      </c>
      <c r="H210" s="5" t="str">
        <f aca="false">IF(OR(BOM!$D216="",BOM!$R216="Cancelled"),"",IF(BOM!K216="","",BOM!K216))</f>
        <v/>
      </c>
      <c r="I210" s="5" t="str">
        <f aca="false">IF(OR(BOM!$D216="",BOM!$R216="Cancelled"),"",IF(BOM!M216="","",BOM!M216))</f>
        <v/>
      </c>
      <c r="J210" s="5" t="str">
        <f aca="false">IF(OR(BOM!$D216="",BOM!$R216="Cancelled"),"",IF(OR(BOM!R216="Received",BOM!R216="NSW Purchased"),"Received",IF(BOM!R216="Purchased – Not Received","Ordered",IF(BOM!R216="Finalized – Not Purchased","Design Released","In Design"))))</f>
        <v/>
      </c>
      <c r="K210" s="52" t="str">
        <f aca="false">IF(OR(BOM!$D216="",BOM!$R216="Cancelled"),"",IF(BOM!W216="","",BOM!W216))</f>
        <v/>
      </c>
    </row>
    <row r="211" customFormat="false" ht="15" hidden="false" customHeight="false" outlineLevel="0" collapsed="false">
      <c r="A211" s="5" t="str">
        <f aca="false">IF(OR(BOM!$D217="",BOM!$R217="Cancelled"),"",IF(BOM!A217="","",BOM!A217))</f>
        <v/>
      </c>
      <c r="B211" s="5" t="str">
        <f aca="false">IF(OR(BOM!$D217="",BOM!$R217="Cancelled"),"",IF(BOM!B217="","",BOM!B217))</f>
        <v/>
      </c>
      <c r="C211" s="5" t="str">
        <f aca="false">IF(OR(BOM!$D217="",BOM!$R217="Cancelled"),"",IF(BOM!C217="","",BOM!C217))</f>
        <v/>
      </c>
      <c r="D211" s="5" t="str">
        <f aca="false">IF(OR(BOM!$D217="",BOM!$R217="Cancelled"),"",IF(BOM!D217="","",BOM!D217))</f>
        <v/>
      </c>
      <c r="E211" s="5" t="str">
        <f aca="false">IF(OR(BOM!$D217="",BOM!$R217="Cancelled"),"",IF(BOM!E217="","",BOM!E217))</f>
        <v/>
      </c>
      <c r="F211" s="5" t="str">
        <f aca="false">IF(OR(BOM!$D217="",BOM!$R217="Cancelled"),"",IF(BOM!F217="","",BOM!F217))</f>
        <v/>
      </c>
      <c r="G211" s="5" t="str">
        <f aca="false">IF(OR(BOM!$D217="",BOM!$R217="Cancelled"),"",IF(BOM!J217="","",BOM!J217))</f>
        <v/>
      </c>
      <c r="H211" s="5" t="str">
        <f aca="false">IF(OR(BOM!$D217="",BOM!$R217="Cancelled"),"",IF(BOM!K217="","",BOM!K217))</f>
        <v/>
      </c>
      <c r="I211" s="5" t="str">
        <f aca="false">IF(OR(BOM!$D217="",BOM!$R217="Cancelled"),"",IF(BOM!M217="","",BOM!M217))</f>
        <v/>
      </c>
      <c r="J211" s="5" t="str">
        <f aca="false">IF(OR(BOM!$D217="",BOM!$R217="Cancelled"),"",IF(OR(BOM!R217="Received",BOM!R217="NSW Purchased"),"Received",IF(BOM!R217="Purchased – Not Received","Ordered",IF(BOM!R217="Finalized – Not Purchased","Design Released","In Design"))))</f>
        <v/>
      </c>
      <c r="K211" s="52" t="str">
        <f aca="false">IF(OR(BOM!$D217="",BOM!$R217="Cancelled"),"",IF(BOM!W217="","",BOM!W217))</f>
        <v/>
      </c>
    </row>
    <row r="212" customFormat="false" ht="15" hidden="false" customHeight="false" outlineLevel="0" collapsed="false">
      <c r="A212" s="5" t="str">
        <f aca="false">IF(OR(BOM!$D218="",BOM!$R218="Cancelled"),"",IF(BOM!A218="","",BOM!A218))</f>
        <v/>
      </c>
      <c r="B212" s="5" t="str">
        <f aca="false">IF(OR(BOM!$D218="",BOM!$R218="Cancelled"),"",IF(BOM!B218="","",BOM!B218))</f>
        <v/>
      </c>
      <c r="C212" s="5" t="str">
        <f aca="false">IF(OR(BOM!$D218="",BOM!$R218="Cancelled"),"",IF(BOM!C218="","",BOM!C218))</f>
        <v/>
      </c>
      <c r="D212" s="5" t="str">
        <f aca="false">IF(OR(BOM!$D218="",BOM!$R218="Cancelled"),"",IF(BOM!D218="","",BOM!D218))</f>
        <v/>
      </c>
      <c r="E212" s="5" t="str">
        <f aca="false">IF(OR(BOM!$D218="",BOM!$R218="Cancelled"),"",IF(BOM!E218="","",BOM!E218))</f>
        <v/>
      </c>
      <c r="F212" s="5" t="str">
        <f aca="false">IF(OR(BOM!$D218="",BOM!$R218="Cancelled"),"",IF(BOM!F218="","",BOM!F218))</f>
        <v/>
      </c>
      <c r="G212" s="5" t="str">
        <f aca="false">IF(OR(BOM!$D218="",BOM!$R218="Cancelled"),"",IF(BOM!J218="","",BOM!J218))</f>
        <v/>
      </c>
      <c r="H212" s="5" t="str">
        <f aca="false">IF(OR(BOM!$D218="",BOM!$R218="Cancelled"),"",IF(BOM!K218="","",BOM!K218))</f>
        <v/>
      </c>
      <c r="I212" s="5" t="str">
        <f aca="false">IF(OR(BOM!$D218="",BOM!$R218="Cancelled"),"",IF(BOM!M218="","",BOM!M218))</f>
        <v/>
      </c>
      <c r="J212" s="5" t="str">
        <f aca="false">IF(OR(BOM!$D218="",BOM!$R218="Cancelled"),"",IF(OR(BOM!R218="Received",BOM!R218="NSW Purchased"),"Received",IF(BOM!R218="Purchased – Not Received","Ordered",IF(BOM!R218="Finalized – Not Purchased","Design Released","In Design"))))</f>
        <v/>
      </c>
      <c r="K212" s="52" t="str">
        <f aca="false">IF(OR(BOM!$D218="",BOM!$R218="Cancelled"),"",IF(BOM!W218="","",BOM!W218))</f>
        <v/>
      </c>
    </row>
    <row r="213" customFormat="false" ht="15" hidden="false" customHeight="false" outlineLevel="0" collapsed="false">
      <c r="A213" s="5" t="str">
        <f aca="false">IF(OR(BOM!$D219="",BOM!$R219="Cancelled"),"",IF(BOM!A219="","",BOM!A219))</f>
        <v/>
      </c>
      <c r="B213" s="5" t="str">
        <f aca="false">IF(OR(BOM!$D219="",BOM!$R219="Cancelled"),"",IF(BOM!B219="","",BOM!B219))</f>
        <v/>
      </c>
      <c r="C213" s="5" t="str">
        <f aca="false">IF(OR(BOM!$D219="",BOM!$R219="Cancelled"),"",IF(BOM!C219="","",BOM!C219))</f>
        <v/>
      </c>
      <c r="D213" s="5" t="str">
        <f aca="false">IF(OR(BOM!$D219="",BOM!$R219="Cancelled"),"",IF(BOM!D219="","",BOM!D219))</f>
        <v/>
      </c>
      <c r="E213" s="5" t="str">
        <f aca="false">IF(OR(BOM!$D219="",BOM!$R219="Cancelled"),"",IF(BOM!E219="","",BOM!E219))</f>
        <v/>
      </c>
      <c r="F213" s="5" t="str">
        <f aca="false">IF(OR(BOM!$D219="",BOM!$R219="Cancelled"),"",IF(BOM!F219="","",BOM!F219))</f>
        <v/>
      </c>
      <c r="G213" s="5" t="str">
        <f aca="false">IF(OR(BOM!$D219="",BOM!$R219="Cancelled"),"",IF(BOM!J219="","",BOM!J219))</f>
        <v/>
      </c>
      <c r="H213" s="5" t="str">
        <f aca="false">IF(OR(BOM!$D219="",BOM!$R219="Cancelled"),"",IF(BOM!K219="","",BOM!K219))</f>
        <v/>
      </c>
      <c r="I213" s="5" t="str">
        <f aca="false">IF(OR(BOM!$D219="",BOM!$R219="Cancelled"),"",IF(BOM!M219="","",BOM!M219))</f>
        <v/>
      </c>
      <c r="J213" s="5" t="str">
        <f aca="false">IF(OR(BOM!$D219="",BOM!$R219="Cancelled"),"",IF(OR(BOM!R219="Received",BOM!R219="NSW Purchased"),"Received",IF(BOM!R219="Purchased – Not Received","Ordered",IF(BOM!R219="Finalized – Not Purchased","Design Released","In Design"))))</f>
        <v/>
      </c>
      <c r="K213" s="52" t="str">
        <f aca="false">IF(OR(BOM!$D219="",BOM!$R219="Cancelled"),"",IF(BOM!W219="","",BOM!W219))</f>
        <v/>
      </c>
    </row>
    <row r="214" customFormat="false" ht="15" hidden="false" customHeight="false" outlineLevel="0" collapsed="false">
      <c r="A214" s="5" t="str">
        <f aca="false">IF(OR(BOM!$D220="",BOM!$R220="Cancelled"),"",IF(BOM!A220="","",BOM!A220))</f>
        <v/>
      </c>
      <c r="B214" s="5" t="str">
        <f aca="false">IF(OR(BOM!$D220="",BOM!$R220="Cancelled"),"",IF(BOM!B220="","",BOM!B220))</f>
        <v/>
      </c>
      <c r="C214" s="5" t="str">
        <f aca="false">IF(OR(BOM!$D220="",BOM!$R220="Cancelled"),"",IF(BOM!C220="","",BOM!C220))</f>
        <v/>
      </c>
      <c r="D214" s="5" t="str">
        <f aca="false">IF(OR(BOM!$D220="",BOM!$R220="Cancelled"),"",IF(BOM!D220="","",BOM!D220))</f>
        <v/>
      </c>
      <c r="E214" s="5" t="str">
        <f aca="false">IF(OR(BOM!$D220="",BOM!$R220="Cancelled"),"",IF(BOM!E220="","",BOM!E220))</f>
        <v/>
      </c>
      <c r="F214" s="5" t="str">
        <f aca="false">IF(OR(BOM!$D220="",BOM!$R220="Cancelled"),"",IF(BOM!F220="","",BOM!F220))</f>
        <v/>
      </c>
      <c r="G214" s="5" t="str">
        <f aca="false">IF(OR(BOM!$D220="",BOM!$R220="Cancelled"),"",IF(BOM!J220="","",BOM!J220))</f>
        <v/>
      </c>
      <c r="H214" s="5" t="str">
        <f aca="false">IF(OR(BOM!$D220="",BOM!$R220="Cancelled"),"",IF(BOM!K220="","",BOM!K220))</f>
        <v/>
      </c>
      <c r="I214" s="5" t="str">
        <f aca="false">IF(OR(BOM!$D220="",BOM!$R220="Cancelled"),"",IF(BOM!M220="","",BOM!M220))</f>
        <v/>
      </c>
      <c r="J214" s="5" t="str">
        <f aca="false">IF(OR(BOM!$D220="",BOM!$R220="Cancelled"),"",IF(OR(BOM!R220="Received",BOM!R220="NSW Purchased"),"Received",IF(BOM!R220="Purchased – Not Received","Ordered",IF(BOM!R220="Finalized – Not Purchased","Design Released","In Design"))))</f>
        <v/>
      </c>
      <c r="K214" s="52" t="str">
        <f aca="false">IF(OR(BOM!$D220="",BOM!$R220="Cancelled"),"",IF(BOM!W220="","",BOM!W220))</f>
        <v/>
      </c>
    </row>
    <row r="215" customFormat="false" ht="15" hidden="false" customHeight="false" outlineLevel="0" collapsed="false">
      <c r="A215" s="5" t="str">
        <f aca="false">IF(OR(BOM!$D221="",BOM!$R221="Cancelled"),"",IF(BOM!A221="","",BOM!A221))</f>
        <v/>
      </c>
      <c r="B215" s="5" t="str">
        <f aca="false">IF(OR(BOM!$D221="",BOM!$R221="Cancelled"),"",IF(BOM!B221="","",BOM!B221))</f>
        <v/>
      </c>
      <c r="C215" s="5" t="str">
        <f aca="false">IF(OR(BOM!$D221="",BOM!$R221="Cancelled"),"",IF(BOM!C221="","",BOM!C221))</f>
        <v/>
      </c>
      <c r="D215" s="5" t="str">
        <f aca="false">IF(OR(BOM!$D221="",BOM!$R221="Cancelled"),"",IF(BOM!D221="","",BOM!D221))</f>
        <v/>
      </c>
      <c r="E215" s="5" t="str">
        <f aca="false">IF(OR(BOM!$D221="",BOM!$R221="Cancelled"),"",IF(BOM!E221="","",BOM!E221))</f>
        <v/>
      </c>
      <c r="F215" s="5" t="str">
        <f aca="false">IF(OR(BOM!$D221="",BOM!$R221="Cancelled"),"",IF(BOM!F221="","",BOM!F221))</f>
        <v/>
      </c>
      <c r="G215" s="5" t="str">
        <f aca="false">IF(OR(BOM!$D221="",BOM!$R221="Cancelled"),"",IF(BOM!J221="","",BOM!J221))</f>
        <v/>
      </c>
      <c r="H215" s="5" t="str">
        <f aca="false">IF(OR(BOM!$D221="",BOM!$R221="Cancelled"),"",IF(BOM!K221="","",BOM!K221))</f>
        <v/>
      </c>
      <c r="I215" s="5" t="str">
        <f aca="false">IF(OR(BOM!$D221="",BOM!$R221="Cancelled"),"",IF(BOM!M221="","",BOM!M221))</f>
        <v/>
      </c>
      <c r="J215" s="5" t="str">
        <f aca="false">IF(OR(BOM!$D221="",BOM!$R221="Cancelled"),"",IF(OR(BOM!R221="Received",BOM!R221="NSW Purchased"),"Received",IF(BOM!R221="Purchased – Not Received","Ordered",IF(BOM!R221="Finalized – Not Purchased","Design Released","In Design"))))</f>
        <v/>
      </c>
      <c r="K215" s="52" t="str">
        <f aca="false">IF(OR(BOM!$D221="",BOM!$R221="Cancelled"),"",IF(BOM!W221="","",BOM!W221))</f>
        <v/>
      </c>
    </row>
    <row r="216" customFormat="false" ht="15" hidden="false" customHeight="false" outlineLevel="0" collapsed="false">
      <c r="A216" s="5" t="str">
        <f aca="false">IF(OR(BOM!$D222="",BOM!$R222="Cancelled"),"",IF(BOM!A222="","",BOM!A222))</f>
        <v/>
      </c>
      <c r="B216" s="5" t="str">
        <f aca="false">IF(OR(BOM!$D222="",BOM!$R222="Cancelled"),"",IF(BOM!B222="","",BOM!B222))</f>
        <v/>
      </c>
      <c r="C216" s="5" t="str">
        <f aca="false">IF(OR(BOM!$D222="",BOM!$R222="Cancelled"),"",IF(BOM!C222="","",BOM!C222))</f>
        <v/>
      </c>
      <c r="D216" s="5" t="str">
        <f aca="false">IF(OR(BOM!$D222="",BOM!$R222="Cancelled"),"",IF(BOM!D222="","",BOM!D222))</f>
        <v/>
      </c>
      <c r="E216" s="5" t="str">
        <f aca="false">IF(OR(BOM!$D222="",BOM!$R222="Cancelled"),"",IF(BOM!E222="","",BOM!E222))</f>
        <v/>
      </c>
      <c r="F216" s="5" t="str">
        <f aca="false">IF(OR(BOM!$D222="",BOM!$R222="Cancelled"),"",IF(BOM!F222="","",BOM!F222))</f>
        <v/>
      </c>
      <c r="G216" s="5" t="str">
        <f aca="false">IF(OR(BOM!$D222="",BOM!$R222="Cancelled"),"",IF(BOM!J222="","",BOM!J222))</f>
        <v/>
      </c>
      <c r="H216" s="5" t="str">
        <f aca="false">IF(OR(BOM!$D222="",BOM!$R222="Cancelled"),"",IF(BOM!K222="","",BOM!K222))</f>
        <v/>
      </c>
      <c r="I216" s="5" t="str">
        <f aca="false">IF(OR(BOM!$D222="",BOM!$R222="Cancelled"),"",IF(BOM!M222="","",BOM!M222))</f>
        <v/>
      </c>
      <c r="J216" s="5" t="str">
        <f aca="false">IF(OR(BOM!$D222="",BOM!$R222="Cancelled"),"",IF(OR(BOM!R222="Received",BOM!R222="NSW Purchased"),"Received",IF(BOM!R222="Purchased – Not Received","Ordered",IF(BOM!R222="Finalized – Not Purchased","Design Released","In Design"))))</f>
        <v/>
      </c>
      <c r="K216" s="52" t="str">
        <f aca="false">IF(OR(BOM!$D222="",BOM!$R222="Cancelled"),"",IF(BOM!W222="","",BOM!W222))</f>
        <v/>
      </c>
    </row>
    <row r="217" customFormat="false" ht="15" hidden="false" customHeight="false" outlineLevel="0" collapsed="false">
      <c r="A217" s="5" t="str">
        <f aca="false">IF(OR(BOM!$D223="",BOM!$R223="Cancelled"),"",IF(BOM!A223="","",BOM!A223))</f>
        <v/>
      </c>
      <c r="B217" s="5" t="str">
        <f aca="false">IF(OR(BOM!$D223="",BOM!$R223="Cancelled"),"",IF(BOM!B223="","",BOM!B223))</f>
        <v/>
      </c>
      <c r="C217" s="5" t="str">
        <f aca="false">IF(OR(BOM!$D223="",BOM!$R223="Cancelled"),"",IF(BOM!C223="","",BOM!C223))</f>
        <v/>
      </c>
      <c r="D217" s="5" t="str">
        <f aca="false">IF(OR(BOM!$D223="",BOM!$R223="Cancelled"),"",IF(BOM!D223="","",BOM!D223))</f>
        <v/>
      </c>
      <c r="E217" s="5" t="str">
        <f aca="false">IF(OR(BOM!$D223="",BOM!$R223="Cancelled"),"",IF(BOM!E223="","",BOM!E223))</f>
        <v/>
      </c>
      <c r="F217" s="5" t="str">
        <f aca="false">IF(OR(BOM!$D223="",BOM!$R223="Cancelled"),"",IF(BOM!F223="","",BOM!F223))</f>
        <v/>
      </c>
      <c r="G217" s="5" t="str">
        <f aca="false">IF(OR(BOM!$D223="",BOM!$R223="Cancelled"),"",IF(BOM!J223="","",BOM!J223))</f>
        <v/>
      </c>
      <c r="H217" s="5" t="str">
        <f aca="false">IF(OR(BOM!$D223="",BOM!$R223="Cancelled"),"",IF(BOM!K223="","",BOM!K223))</f>
        <v/>
      </c>
      <c r="I217" s="5" t="str">
        <f aca="false">IF(OR(BOM!$D223="",BOM!$R223="Cancelled"),"",IF(BOM!M223="","",BOM!M223))</f>
        <v/>
      </c>
      <c r="J217" s="5" t="str">
        <f aca="false">IF(OR(BOM!$D223="",BOM!$R223="Cancelled"),"",IF(OR(BOM!R223="Received",BOM!R223="NSW Purchased"),"Received",IF(BOM!R223="Purchased – Not Received","Ordered",IF(BOM!R223="Finalized – Not Purchased","Design Released","In Design"))))</f>
        <v/>
      </c>
      <c r="K217" s="52" t="str">
        <f aca="false">IF(OR(BOM!$D223="",BOM!$R223="Cancelled"),"",IF(BOM!W223="","",BOM!W223))</f>
        <v/>
      </c>
    </row>
    <row r="218" customFormat="false" ht="15" hidden="false" customHeight="false" outlineLevel="0" collapsed="false">
      <c r="A218" s="5" t="str">
        <f aca="false">IF(OR(BOM!$D224="",BOM!$R224="Cancelled"),"",IF(BOM!A224="","",BOM!A224))</f>
        <v/>
      </c>
      <c r="B218" s="5" t="str">
        <f aca="false">IF(OR(BOM!$D224="",BOM!$R224="Cancelled"),"",IF(BOM!B224="","",BOM!B224))</f>
        <v/>
      </c>
      <c r="C218" s="5" t="str">
        <f aca="false">IF(OR(BOM!$D224="",BOM!$R224="Cancelled"),"",IF(BOM!C224="","",BOM!C224))</f>
        <v/>
      </c>
      <c r="D218" s="5" t="str">
        <f aca="false">IF(OR(BOM!$D224="",BOM!$R224="Cancelled"),"",IF(BOM!D224="","",BOM!D224))</f>
        <v/>
      </c>
      <c r="E218" s="5" t="str">
        <f aca="false">IF(OR(BOM!$D224="",BOM!$R224="Cancelled"),"",IF(BOM!E224="","",BOM!E224))</f>
        <v/>
      </c>
      <c r="F218" s="5" t="str">
        <f aca="false">IF(OR(BOM!$D224="",BOM!$R224="Cancelled"),"",IF(BOM!F224="","",BOM!F224))</f>
        <v/>
      </c>
      <c r="G218" s="5" t="str">
        <f aca="false">IF(OR(BOM!$D224="",BOM!$R224="Cancelled"),"",IF(BOM!J224="","",BOM!J224))</f>
        <v/>
      </c>
      <c r="H218" s="5" t="str">
        <f aca="false">IF(OR(BOM!$D224="",BOM!$R224="Cancelled"),"",IF(BOM!K224="","",BOM!K224))</f>
        <v/>
      </c>
      <c r="I218" s="5" t="str">
        <f aca="false">IF(OR(BOM!$D224="",BOM!$R224="Cancelled"),"",IF(BOM!M224="","",BOM!M224))</f>
        <v/>
      </c>
      <c r="J218" s="5" t="str">
        <f aca="false">IF(OR(BOM!$D224="",BOM!$R224="Cancelled"),"",IF(OR(BOM!R224="Received",BOM!R224="NSW Purchased"),"Received",IF(BOM!R224="Purchased – Not Received","Ordered",IF(BOM!R224="Finalized – Not Purchased","Design Released","In Design"))))</f>
        <v/>
      </c>
      <c r="K218" s="52" t="str">
        <f aca="false">IF(OR(BOM!$D224="",BOM!$R224="Cancelled"),"",IF(BOM!W224="","",BOM!W224))</f>
        <v/>
      </c>
    </row>
    <row r="219" customFormat="false" ht="15" hidden="false" customHeight="false" outlineLevel="0" collapsed="false">
      <c r="A219" s="5" t="str">
        <f aca="false">IF(OR(BOM!$D225="",BOM!$R225="Cancelled"),"",IF(BOM!A225="","",BOM!A225))</f>
        <v/>
      </c>
      <c r="B219" s="5" t="str">
        <f aca="false">IF(OR(BOM!$D225="",BOM!$R225="Cancelled"),"",IF(BOM!B225="","",BOM!B225))</f>
        <v/>
      </c>
      <c r="C219" s="5" t="str">
        <f aca="false">IF(OR(BOM!$D225="",BOM!$R225="Cancelled"),"",IF(BOM!C225="","",BOM!C225))</f>
        <v/>
      </c>
      <c r="D219" s="5" t="str">
        <f aca="false">IF(OR(BOM!$D225="",BOM!$R225="Cancelled"),"",IF(BOM!D225="","",BOM!D225))</f>
        <v/>
      </c>
      <c r="E219" s="5" t="str">
        <f aca="false">IF(OR(BOM!$D225="",BOM!$R225="Cancelled"),"",IF(BOM!E225="","",BOM!E225))</f>
        <v/>
      </c>
      <c r="F219" s="5" t="str">
        <f aca="false">IF(OR(BOM!$D225="",BOM!$R225="Cancelled"),"",IF(BOM!F225="","",BOM!F225))</f>
        <v/>
      </c>
      <c r="G219" s="5" t="str">
        <f aca="false">IF(OR(BOM!$D225="",BOM!$R225="Cancelled"),"",IF(BOM!J225="","",BOM!J225))</f>
        <v/>
      </c>
      <c r="H219" s="5" t="str">
        <f aca="false">IF(OR(BOM!$D225="",BOM!$R225="Cancelled"),"",IF(BOM!K225="","",BOM!K225))</f>
        <v/>
      </c>
      <c r="I219" s="5" t="str">
        <f aca="false">IF(OR(BOM!$D225="",BOM!$R225="Cancelled"),"",IF(BOM!M225="","",BOM!M225))</f>
        <v/>
      </c>
      <c r="J219" s="5" t="str">
        <f aca="false">IF(OR(BOM!$D225="",BOM!$R225="Cancelled"),"",IF(OR(BOM!R225="Received",BOM!R225="NSW Purchased"),"Received",IF(BOM!R225="Purchased – Not Received","Ordered",IF(BOM!R225="Finalized – Not Purchased","Design Released","In Design"))))</f>
        <v/>
      </c>
      <c r="K219" s="52" t="str">
        <f aca="false">IF(OR(BOM!$D225="",BOM!$R225="Cancelled"),"",IF(BOM!W225="","",BOM!W225))</f>
        <v/>
      </c>
    </row>
    <row r="220" customFormat="false" ht="15" hidden="false" customHeight="false" outlineLevel="0" collapsed="false">
      <c r="A220" s="5" t="str">
        <f aca="false">IF(OR(BOM!$D226="",BOM!$R226="Cancelled"),"",IF(BOM!A226="","",BOM!A226))</f>
        <v/>
      </c>
      <c r="B220" s="5" t="str">
        <f aca="false">IF(OR(BOM!$D226="",BOM!$R226="Cancelled"),"",IF(BOM!B226="","",BOM!B226))</f>
        <v/>
      </c>
      <c r="C220" s="5" t="str">
        <f aca="false">IF(OR(BOM!$D226="",BOM!$R226="Cancelled"),"",IF(BOM!C226="","",BOM!C226))</f>
        <v/>
      </c>
      <c r="D220" s="5" t="str">
        <f aca="false">IF(OR(BOM!$D226="",BOM!$R226="Cancelled"),"",IF(BOM!D226="","",BOM!D226))</f>
        <v/>
      </c>
      <c r="E220" s="5" t="str">
        <f aca="false">IF(OR(BOM!$D226="",BOM!$R226="Cancelled"),"",IF(BOM!E226="","",BOM!E226))</f>
        <v/>
      </c>
      <c r="F220" s="5" t="str">
        <f aca="false">IF(OR(BOM!$D226="",BOM!$R226="Cancelled"),"",IF(BOM!F226="","",BOM!F226))</f>
        <v/>
      </c>
      <c r="G220" s="5" t="str">
        <f aca="false">IF(OR(BOM!$D226="",BOM!$R226="Cancelled"),"",IF(BOM!J226="","",BOM!J226))</f>
        <v/>
      </c>
      <c r="H220" s="5" t="str">
        <f aca="false">IF(OR(BOM!$D226="",BOM!$R226="Cancelled"),"",IF(BOM!K226="","",BOM!K226))</f>
        <v/>
      </c>
      <c r="I220" s="5" t="str">
        <f aca="false">IF(OR(BOM!$D226="",BOM!$R226="Cancelled"),"",IF(BOM!M226="","",BOM!M226))</f>
        <v/>
      </c>
      <c r="J220" s="5" t="str">
        <f aca="false">IF(OR(BOM!$D226="",BOM!$R226="Cancelled"),"",IF(OR(BOM!R226="Received",BOM!R226="NSW Purchased"),"Received",IF(BOM!R226="Purchased – Not Received","Ordered",IF(BOM!R226="Finalized – Not Purchased","Design Released","In Design"))))</f>
        <v/>
      </c>
      <c r="K220" s="52" t="str">
        <f aca="false">IF(OR(BOM!$D226="",BOM!$R226="Cancelled"),"",IF(BOM!W226="","",BOM!W226))</f>
        <v/>
      </c>
    </row>
    <row r="221" customFormat="false" ht="15" hidden="false" customHeight="false" outlineLevel="0" collapsed="false">
      <c r="A221" s="5" t="str">
        <f aca="false">IF(OR(BOM!$D227="",BOM!$R227="Cancelled"),"",IF(BOM!A227="","",BOM!A227))</f>
        <v/>
      </c>
      <c r="B221" s="5" t="str">
        <f aca="false">IF(OR(BOM!$D227="",BOM!$R227="Cancelled"),"",IF(BOM!B227="","",BOM!B227))</f>
        <v/>
      </c>
      <c r="C221" s="5" t="str">
        <f aca="false">IF(OR(BOM!$D227="",BOM!$R227="Cancelled"),"",IF(BOM!C227="","",BOM!C227))</f>
        <v/>
      </c>
      <c r="D221" s="5" t="str">
        <f aca="false">IF(OR(BOM!$D227="",BOM!$R227="Cancelled"),"",IF(BOM!D227="","",BOM!D227))</f>
        <v/>
      </c>
      <c r="E221" s="5" t="str">
        <f aca="false">IF(OR(BOM!$D227="",BOM!$R227="Cancelled"),"",IF(BOM!E227="","",BOM!E227))</f>
        <v/>
      </c>
      <c r="F221" s="5" t="str">
        <f aca="false">IF(OR(BOM!$D227="",BOM!$R227="Cancelled"),"",IF(BOM!F227="","",BOM!F227))</f>
        <v/>
      </c>
      <c r="G221" s="5" t="str">
        <f aca="false">IF(OR(BOM!$D227="",BOM!$R227="Cancelled"),"",IF(BOM!J227="","",BOM!J227))</f>
        <v/>
      </c>
      <c r="H221" s="5" t="str">
        <f aca="false">IF(OR(BOM!$D227="",BOM!$R227="Cancelled"),"",IF(BOM!K227="","",BOM!K227))</f>
        <v/>
      </c>
      <c r="I221" s="5" t="str">
        <f aca="false">IF(OR(BOM!$D227="",BOM!$R227="Cancelled"),"",IF(BOM!M227="","",BOM!M227))</f>
        <v/>
      </c>
      <c r="J221" s="5" t="str">
        <f aca="false">IF(OR(BOM!$D227="",BOM!$R227="Cancelled"),"",IF(OR(BOM!R227="Received",BOM!R227="NSW Purchased"),"Received",IF(BOM!R227="Purchased – Not Received","Ordered",IF(BOM!R227="Finalized – Not Purchased","Design Released","In Design"))))</f>
        <v/>
      </c>
      <c r="K221" s="52" t="str">
        <f aca="false">IF(OR(BOM!$D227="",BOM!$R227="Cancelled"),"",IF(BOM!W227="","",BOM!W227))</f>
        <v/>
      </c>
    </row>
    <row r="222" customFormat="false" ht="15" hidden="false" customHeight="false" outlineLevel="0" collapsed="false">
      <c r="A222" s="5" t="str">
        <f aca="false">IF(OR(BOM!$D228="",BOM!$R228="Cancelled"),"",IF(BOM!A228="","",BOM!A228))</f>
        <v/>
      </c>
      <c r="B222" s="5" t="str">
        <f aca="false">IF(OR(BOM!$D228="",BOM!$R228="Cancelled"),"",IF(BOM!B228="","",BOM!B228))</f>
        <v/>
      </c>
      <c r="C222" s="5" t="str">
        <f aca="false">IF(OR(BOM!$D228="",BOM!$R228="Cancelled"),"",IF(BOM!C228="","",BOM!C228))</f>
        <v/>
      </c>
      <c r="D222" s="5" t="str">
        <f aca="false">IF(OR(BOM!$D228="",BOM!$R228="Cancelled"),"",IF(BOM!D228="","",BOM!D228))</f>
        <v/>
      </c>
      <c r="E222" s="5" t="str">
        <f aca="false">IF(OR(BOM!$D228="",BOM!$R228="Cancelled"),"",IF(BOM!E228="","",BOM!E228))</f>
        <v/>
      </c>
      <c r="F222" s="5" t="str">
        <f aca="false">IF(OR(BOM!$D228="",BOM!$R228="Cancelled"),"",IF(BOM!F228="","",BOM!F228))</f>
        <v/>
      </c>
      <c r="G222" s="5" t="str">
        <f aca="false">IF(OR(BOM!$D228="",BOM!$R228="Cancelled"),"",IF(BOM!J228="","",BOM!J228))</f>
        <v/>
      </c>
      <c r="H222" s="5" t="str">
        <f aca="false">IF(OR(BOM!$D228="",BOM!$R228="Cancelled"),"",IF(BOM!K228="","",BOM!K228))</f>
        <v/>
      </c>
      <c r="I222" s="5" t="str">
        <f aca="false">IF(OR(BOM!$D228="",BOM!$R228="Cancelled"),"",IF(BOM!M228="","",BOM!M228))</f>
        <v/>
      </c>
      <c r="J222" s="5" t="str">
        <f aca="false">IF(OR(BOM!$D228="",BOM!$R228="Cancelled"),"",IF(OR(BOM!R228="Received",BOM!R228="NSW Purchased"),"Received",IF(BOM!R228="Purchased – Not Received","Ordered",IF(BOM!R228="Finalized – Not Purchased","Design Released","In Design"))))</f>
        <v/>
      </c>
      <c r="K222" s="52" t="str">
        <f aca="false">IF(OR(BOM!$D228="",BOM!$R228="Cancelled"),"",IF(BOM!W228="","",BOM!W228))</f>
        <v/>
      </c>
    </row>
    <row r="223" customFormat="false" ht="15" hidden="false" customHeight="false" outlineLevel="0" collapsed="false">
      <c r="A223" s="5" t="str">
        <f aca="false">IF(OR(BOM!$D229="",BOM!$R229="Cancelled"),"",IF(BOM!A229="","",BOM!A229))</f>
        <v/>
      </c>
      <c r="B223" s="5" t="str">
        <f aca="false">IF(OR(BOM!$D229="",BOM!$R229="Cancelled"),"",IF(BOM!B229="","",BOM!B229))</f>
        <v/>
      </c>
      <c r="C223" s="5" t="str">
        <f aca="false">IF(OR(BOM!$D229="",BOM!$R229="Cancelled"),"",IF(BOM!C229="","",BOM!C229))</f>
        <v/>
      </c>
      <c r="D223" s="5" t="str">
        <f aca="false">IF(OR(BOM!$D229="",BOM!$R229="Cancelled"),"",IF(BOM!D229="","",BOM!D229))</f>
        <v/>
      </c>
      <c r="E223" s="5" t="str">
        <f aca="false">IF(OR(BOM!$D229="",BOM!$R229="Cancelled"),"",IF(BOM!E229="","",BOM!E229))</f>
        <v/>
      </c>
      <c r="F223" s="5" t="str">
        <f aca="false">IF(OR(BOM!$D229="",BOM!$R229="Cancelled"),"",IF(BOM!F229="","",BOM!F229))</f>
        <v/>
      </c>
      <c r="G223" s="5" t="str">
        <f aca="false">IF(OR(BOM!$D229="",BOM!$R229="Cancelled"),"",IF(BOM!J229="","",BOM!J229))</f>
        <v/>
      </c>
      <c r="H223" s="5" t="str">
        <f aca="false">IF(OR(BOM!$D229="",BOM!$R229="Cancelled"),"",IF(BOM!K229="","",BOM!K229))</f>
        <v/>
      </c>
      <c r="I223" s="5" t="str">
        <f aca="false">IF(OR(BOM!$D229="",BOM!$R229="Cancelled"),"",IF(BOM!M229="","",BOM!M229))</f>
        <v/>
      </c>
      <c r="J223" s="5" t="str">
        <f aca="false">IF(OR(BOM!$D229="",BOM!$R229="Cancelled"),"",IF(OR(BOM!R229="Received",BOM!R229="NSW Purchased"),"Received",IF(BOM!R229="Purchased – Not Received","Ordered",IF(BOM!R229="Finalized – Not Purchased","Design Released","In Design"))))</f>
        <v/>
      </c>
      <c r="K223" s="52" t="str">
        <f aca="false">IF(OR(BOM!$D229="",BOM!$R229="Cancelled"),"",IF(BOM!W229="","",BOM!W229))</f>
        <v/>
      </c>
    </row>
    <row r="224" customFormat="false" ht="15" hidden="false" customHeight="false" outlineLevel="0" collapsed="false">
      <c r="A224" s="5" t="str">
        <f aca="false">IF(OR(BOM!$D230="",BOM!$R230="Cancelled"),"",IF(BOM!A230="","",BOM!A230))</f>
        <v/>
      </c>
      <c r="B224" s="5" t="str">
        <f aca="false">IF(OR(BOM!$D230="",BOM!$R230="Cancelled"),"",IF(BOM!B230="","",BOM!B230))</f>
        <v/>
      </c>
      <c r="C224" s="5" t="str">
        <f aca="false">IF(OR(BOM!$D230="",BOM!$R230="Cancelled"),"",IF(BOM!C230="","",BOM!C230))</f>
        <v/>
      </c>
      <c r="D224" s="5" t="str">
        <f aca="false">IF(OR(BOM!$D230="",BOM!$R230="Cancelled"),"",IF(BOM!D230="","",BOM!D230))</f>
        <v/>
      </c>
      <c r="E224" s="5" t="str">
        <f aca="false">IF(OR(BOM!$D230="",BOM!$R230="Cancelled"),"",IF(BOM!E230="","",BOM!E230))</f>
        <v/>
      </c>
      <c r="F224" s="5" t="str">
        <f aca="false">IF(OR(BOM!$D230="",BOM!$R230="Cancelled"),"",IF(BOM!F230="","",BOM!F230))</f>
        <v/>
      </c>
      <c r="G224" s="5" t="str">
        <f aca="false">IF(OR(BOM!$D230="",BOM!$R230="Cancelled"),"",IF(BOM!J230="","",BOM!J230))</f>
        <v/>
      </c>
      <c r="H224" s="5" t="str">
        <f aca="false">IF(OR(BOM!$D230="",BOM!$R230="Cancelled"),"",IF(BOM!K230="","",BOM!K230))</f>
        <v/>
      </c>
      <c r="I224" s="5" t="str">
        <f aca="false">IF(OR(BOM!$D230="",BOM!$R230="Cancelled"),"",IF(BOM!M230="","",BOM!M230))</f>
        <v/>
      </c>
      <c r="J224" s="5" t="str">
        <f aca="false">IF(OR(BOM!$D230="",BOM!$R230="Cancelled"),"",IF(OR(BOM!R230="Received",BOM!R230="NSW Purchased"),"Received",IF(BOM!R230="Purchased – Not Received","Ordered",IF(BOM!R230="Finalized – Not Purchased","Design Released","In Design"))))</f>
        <v/>
      </c>
      <c r="K224" s="52" t="str">
        <f aca="false">IF(OR(BOM!$D230="",BOM!$R230="Cancelled"),"",IF(BOM!W230="","",BOM!W230))</f>
        <v/>
      </c>
    </row>
    <row r="225" customFormat="false" ht="15" hidden="false" customHeight="false" outlineLevel="0" collapsed="false">
      <c r="A225" s="5" t="str">
        <f aca="false">IF(OR(BOM!$D231="",BOM!$R231="Cancelled"),"",IF(BOM!A231="","",BOM!A231))</f>
        <v/>
      </c>
      <c r="B225" s="5" t="str">
        <f aca="false">IF(OR(BOM!$D231="",BOM!$R231="Cancelled"),"",IF(BOM!B231="","",BOM!B231))</f>
        <v/>
      </c>
      <c r="C225" s="5" t="str">
        <f aca="false">IF(OR(BOM!$D231="",BOM!$R231="Cancelled"),"",IF(BOM!C231="","",BOM!C231))</f>
        <v/>
      </c>
      <c r="D225" s="5" t="str">
        <f aca="false">IF(OR(BOM!$D231="",BOM!$R231="Cancelled"),"",IF(BOM!D231="","",BOM!D231))</f>
        <v/>
      </c>
      <c r="E225" s="5" t="str">
        <f aca="false">IF(OR(BOM!$D231="",BOM!$R231="Cancelled"),"",IF(BOM!E231="","",BOM!E231))</f>
        <v/>
      </c>
      <c r="F225" s="5" t="str">
        <f aca="false">IF(OR(BOM!$D231="",BOM!$R231="Cancelled"),"",IF(BOM!F231="","",BOM!F231))</f>
        <v/>
      </c>
      <c r="G225" s="5" t="str">
        <f aca="false">IF(OR(BOM!$D231="",BOM!$R231="Cancelled"),"",IF(BOM!J231="","",BOM!J231))</f>
        <v/>
      </c>
      <c r="H225" s="5" t="str">
        <f aca="false">IF(OR(BOM!$D231="",BOM!$R231="Cancelled"),"",IF(BOM!K231="","",BOM!K231))</f>
        <v/>
      </c>
      <c r="I225" s="5" t="str">
        <f aca="false">IF(OR(BOM!$D231="",BOM!$R231="Cancelled"),"",IF(BOM!M231="","",BOM!M231))</f>
        <v/>
      </c>
      <c r="J225" s="5" t="str">
        <f aca="false">IF(OR(BOM!$D231="",BOM!$R231="Cancelled"),"",IF(OR(BOM!R231="Received",BOM!R231="NSW Purchased"),"Received",IF(BOM!R231="Purchased – Not Received","Ordered",IF(BOM!R231="Finalized – Not Purchased","Design Released","In Design"))))</f>
        <v/>
      </c>
      <c r="K225" s="52" t="str">
        <f aca="false">IF(OR(BOM!$D231="",BOM!$R231="Cancelled"),"",IF(BOM!W231="","",BOM!W231))</f>
        <v/>
      </c>
    </row>
    <row r="226" customFormat="false" ht="15" hidden="false" customHeight="false" outlineLevel="0" collapsed="false">
      <c r="A226" s="5" t="str">
        <f aca="false">IF(OR(BOM!$D232="",BOM!$R232="Cancelled"),"",IF(BOM!A232="","",BOM!A232))</f>
        <v/>
      </c>
      <c r="B226" s="5" t="str">
        <f aca="false">IF(OR(BOM!$D232="",BOM!$R232="Cancelled"),"",IF(BOM!B232="","",BOM!B232))</f>
        <v/>
      </c>
      <c r="C226" s="5" t="str">
        <f aca="false">IF(OR(BOM!$D232="",BOM!$R232="Cancelled"),"",IF(BOM!C232="","",BOM!C232))</f>
        <v/>
      </c>
      <c r="D226" s="5" t="str">
        <f aca="false">IF(OR(BOM!$D232="",BOM!$R232="Cancelled"),"",IF(BOM!D232="","",BOM!D232))</f>
        <v/>
      </c>
      <c r="E226" s="5" t="str">
        <f aca="false">IF(OR(BOM!$D232="",BOM!$R232="Cancelled"),"",IF(BOM!E232="","",BOM!E232))</f>
        <v/>
      </c>
      <c r="F226" s="5" t="str">
        <f aca="false">IF(OR(BOM!$D232="",BOM!$R232="Cancelled"),"",IF(BOM!F232="","",BOM!F232))</f>
        <v/>
      </c>
      <c r="G226" s="5" t="str">
        <f aca="false">IF(OR(BOM!$D232="",BOM!$R232="Cancelled"),"",IF(BOM!J232="","",BOM!J232))</f>
        <v/>
      </c>
      <c r="H226" s="5" t="str">
        <f aca="false">IF(OR(BOM!$D232="",BOM!$R232="Cancelled"),"",IF(BOM!K232="","",BOM!K232))</f>
        <v/>
      </c>
      <c r="I226" s="5" t="str">
        <f aca="false">IF(OR(BOM!$D232="",BOM!$R232="Cancelled"),"",IF(BOM!M232="","",BOM!M232))</f>
        <v/>
      </c>
      <c r="J226" s="5" t="str">
        <f aca="false">IF(OR(BOM!$D232="",BOM!$R232="Cancelled"),"",IF(OR(BOM!R232="Received",BOM!R232="NSW Purchased"),"Received",IF(BOM!R232="Purchased – Not Received","Ordered",IF(BOM!R232="Finalized – Not Purchased","Design Released","In Design"))))</f>
        <v/>
      </c>
      <c r="K226" s="52" t="str">
        <f aca="false">IF(OR(BOM!$D232="",BOM!$R232="Cancelled"),"",IF(BOM!W232="","",BOM!W232))</f>
        <v/>
      </c>
    </row>
    <row r="227" customFormat="false" ht="15" hidden="false" customHeight="false" outlineLevel="0" collapsed="false">
      <c r="A227" s="5" t="str">
        <f aca="false">IF(OR(BOM!$D233="",BOM!$R233="Cancelled"),"",IF(BOM!A233="","",BOM!A233))</f>
        <v/>
      </c>
      <c r="B227" s="5" t="str">
        <f aca="false">IF(OR(BOM!$D233="",BOM!$R233="Cancelled"),"",IF(BOM!B233="","",BOM!B233))</f>
        <v/>
      </c>
      <c r="C227" s="5" t="str">
        <f aca="false">IF(OR(BOM!$D233="",BOM!$R233="Cancelled"),"",IF(BOM!C233="","",BOM!C233))</f>
        <v/>
      </c>
      <c r="D227" s="5" t="str">
        <f aca="false">IF(OR(BOM!$D233="",BOM!$R233="Cancelled"),"",IF(BOM!D233="","",BOM!D233))</f>
        <v/>
      </c>
      <c r="E227" s="5" t="str">
        <f aca="false">IF(OR(BOM!$D233="",BOM!$R233="Cancelled"),"",IF(BOM!E233="","",BOM!E233))</f>
        <v/>
      </c>
      <c r="F227" s="5" t="str">
        <f aca="false">IF(OR(BOM!$D233="",BOM!$R233="Cancelled"),"",IF(BOM!F233="","",BOM!F233))</f>
        <v/>
      </c>
      <c r="G227" s="5" t="str">
        <f aca="false">IF(OR(BOM!$D233="",BOM!$R233="Cancelled"),"",IF(BOM!J233="","",BOM!J233))</f>
        <v/>
      </c>
      <c r="H227" s="5" t="str">
        <f aca="false">IF(OR(BOM!$D233="",BOM!$R233="Cancelled"),"",IF(BOM!K233="","",BOM!K233))</f>
        <v/>
      </c>
      <c r="I227" s="5" t="str">
        <f aca="false">IF(OR(BOM!$D233="",BOM!$R233="Cancelled"),"",IF(BOM!M233="","",BOM!M233))</f>
        <v/>
      </c>
      <c r="J227" s="5" t="str">
        <f aca="false">IF(OR(BOM!$D233="",BOM!$R233="Cancelled"),"",IF(OR(BOM!R233="Received",BOM!R233="NSW Purchased"),"Received",IF(BOM!R233="Purchased – Not Received","Ordered",IF(BOM!R233="Finalized – Not Purchased","Design Released","In Design"))))</f>
        <v/>
      </c>
      <c r="K227" s="52" t="str">
        <f aca="false">IF(OR(BOM!$D233="",BOM!$R233="Cancelled"),"",IF(BOM!W233="","",BOM!W233))</f>
        <v/>
      </c>
    </row>
    <row r="228" customFormat="false" ht="15" hidden="false" customHeight="false" outlineLevel="0" collapsed="false">
      <c r="A228" s="5" t="str">
        <f aca="false">IF(OR(BOM!$D234="",BOM!$R234="Cancelled"),"",IF(BOM!A234="","",BOM!A234))</f>
        <v/>
      </c>
      <c r="B228" s="5" t="str">
        <f aca="false">IF(OR(BOM!$D234="",BOM!$R234="Cancelled"),"",IF(BOM!B234="","",BOM!B234))</f>
        <v/>
      </c>
      <c r="C228" s="5" t="str">
        <f aca="false">IF(OR(BOM!$D234="",BOM!$R234="Cancelled"),"",IF(BOM!C234="","",BOM!C234))</f>
        <v/>
      </c>
      <c r="D228" s="5" t="str">
        <f aca="false">IF(OR(BOM!$D234="",BOM!$R234="Cancelled"),"",IF(BOM!D234="","",BOM!D234))</f>
        <v/>
      </c>
      <c r="E228" s="5" t="str">
        <f aca="false">IF(OR(BOM!$D234="",BOM!$R234="Cancelled"),"",IF(BOM!E234="","",BOM!E234))</f>
        <v/>
      </c>
      <c r="F228" s="5" t="str">
        <f aca="false">IF(OR(BOM!$D234="",BOM!$R234="Cancelled"),"",IF(BOM!F234="","",BOM!F234))</f>
        <v/>
      </c>
      <c r="G228" s="5" t="str">
        <f aca="false">IF(OR(BOM!$D234="",BOM!$R234="Cancelled"),"",IF(BOM!J234="","",BOM!J234))</f>
        <v/>
      </c>
      <c r="H228" s="5" t="str">
        <f aca="false">IF(OR(BOM!$D234="",BOM!$R234="Cancelled"),"",IF(BOM!K234="","",BOM!K234))</f>
        <v/>
      </c>
      <c r="I228" s="5" t="str">
        <f aca="false">IF(OR(BOM!$D234="",BOM!$R234="Cancelled"),"",IF(BOM!M234="","",BOM!M234))</f>
        <v/>
      </c>
      <c r="J228" s="5" t="str">
        <f aca="false">IF(OR(BOM!$D234="",BOM!$R234="Cancelled"),"",IF(OR(BOM!R234="Received",BOM!R234="NSW Purchased"),"Received",IF(BOM!R234="Purchased – Not Received","Ordered",IF(BOM!R234="Finalized – Not Purchased","Design Released","In Design"))))</f>
        <v/>
      </c>
      <c r="K228" s="52" t="str">
        <f aca="false">IF(OR(BOM!$D234="",BOM!$R234="Cancelled"),"",IF(BOM!W234="","",BOM!W234))</f>
        <v/>
      </c>
    </row>
    <row r="229" customFormat="false" ht="15" hidden="false" customHeight="false" outlineLevel="0" collapsed="false">
      <c r="A229" s="5" t="str">
        <f aca="false">IF(OR(BOM!$D235="",BOM!$R235="Cancelled"),"",IF(BOM!A235="","",BOM!A235))</f>
        <v/>
      </c>
      <c r="B229" s="5" t="str">
        <f aca="false">IF(OR(BOM!$D235="",BOM!$R235="Cancelled"),"",IF(BOM!B235="","",BOM!B235))</f>
        <v/>
      </c>
      <c r="C229" s="5" t="str">
        <f aca="false">IF(OR(BOM!$D235="",BOM!$R235="Cancelled"),"",IF(BOM!C235="","",BOM!C235))</f>
        <v/>
      </c>
      <c r="D229" s="5" t="str">
        <f aca="false">IF(OR(BOM!$D235="",BOM!$R235="Cancelled"),"",IF(BOM!D235="","",BOM!D235))</f>
        <v/>
      </c>
      <c r="E229" s="5" t="str">
        <f aca="false">IF(OR(BOM!$D235="",BOM!$R235="Cancelled"),"",IF(BOM!E235="","",BOM!E235))</f>
        <v/>
      </c>
      <c r="F229" s="5" t="str">
        <f aca="false">IF(OR(BOM!$D235="",BOM!$R235="Cancelled"),"",IF(BOM!F235="","",BOM!F235))</f>
        <v/>
      </c>
      <c r="G229" s="5" t="str">
        <f aca="false">IF(OR(BOM!$D235="",BOM!$R235="Cancelled"),"",IF(BOM!J235="","",BOM!J235))</f>
        <v/>
      </c>
      <c r="H229" s="5" t="str">
        <f aca="false">IF(OR(BOM!$D235="",BOM!$R235="Cancelled"),"",IF(BOM!K235="","",BOM!K235))</f>
        <v/>
      </c>
      <c r="I229" s="5" t="str">
        <f aca="false">IF(OR(BOM!$D235="",BOM!$R235="Cancelled"),"",IF(BOM!M235="","",BOM!M235))</f>
        <v/>
      </c>
      <c r="J229" s="5" t="str">
        <f aca="false">IF(OR(BOM!$D235="",BOM!$R235="Cancelled"),"",IF(OR(BOM!R235="Received",BOM!R235="NSW Purchased"),"Received",IF(BOM!R235="Purchased – Not Received","Ordered",IF(BOM!R235="Finalized – Not Purchased","Design Released","In Design"))))</f>
        <v/>
      </c>
      <c r="K229" s="52" t="str">
        <f aca="false">IF(OR(BOM!$D235="",BOM!$R235="Cancelled"),"",IF(BOM!W235="","",BOM!W235))</f>
        <v/>
      </c>
    </row>
    <row r="230" customFormat="false" ht="15" hidden="false" customHeight="false" outlineLevel="0" collapsed="false">
      <c r="A230" s="5" t="str">
        <f aca="false">IF(OR(BOM!$D236="",BOM!$R236="Cancelled"),"",IF(BOM!A236="","",BOM!A236))</f>
        <v/>
      </c>
      <c r="B230" s="5" t="str">
        <f aca="false">IF(OR(BOM!$D236="",BOM!$R236="Cancelled"),"",IF(BOM!B236="","",BOM!B236))</f>
        <v/>
      </c>
      <c r="C230" s="5" t="str">
        <f aca="false">IF(OR(BOM!$D236="",BOM!$R236="Cancelled"),"",IF(BOM!C236="","",BOM!C236))</f>
        <v/>
      </c>
      <c r="D230" s="5" t="str">
        <f aca="false">IF(OR(BOM!$D236="",BOM!$R236="Cancelled"),"",IF(BOM!D236="","",BOM!D236))</f>
        <v/>
      </c>
      <c r="E230" s="5" t="str">
        <f aca="false">IF(OR(BOM!$D236="",BOM!$R236="Cancelled"),"",IF(BOM!E236="","",BOM!E236))</f>
        <v/>
      </c>
      <c r="F230" s="5" t="str">
        <f aca="false">IF(OR(BOM!$D236="",BOM!$R236="Cancelled"),"",IF(BOM!F236="","",BOM!F236))</f>
        <v/>
      </c>
      <c r="G230" s="5" t="str">
        <f aca="false">IF(OR(BOM!$D236="",BOM!$R236="Cancelled"),"",IF(BOM!J236="","",BOM!J236))</f>
        <v/>
      </c>
      <c r="H230" s="5" t="str">
        <f aca="false">IF(OR(BOM!$D236="",BOM!$R236="Cancelled"),"",IF(BOM!K236="","",BOM!K236))</f>
        <v/>
      </c>
      <c r="I230" s="5" t="str">
        <f aca="false">IF(OR(BOM!$D236="",BOM!$R236="Cancelled"),"",IF(BOM!M236="","",BOM!M236))</f>
        <v/>
      </c>
      <c r="J230" s="5" t="str">
        <f aca="false">IF(OR(BOM!$D236="",BOM!$R236="Cancelled"),"",IF(OR(BOM!R236="Received",BOM!R236="NSW Purchased"),"Received",IF(BOM!R236="Purchased – Not Received","Ordered",IF(BOM!R236="Finalized – Not Purchased","Design Released","In Design"))))</f>
        <v/>
      </c>
      <c r="K230" s="52" t="str">
        <f aca="false">IF(OR(BOM!$D236="",BOM!$R236="Cancelled"),"",IF(BOM!W236="","",BOM!W236))</f>
        <v/>
      </c>
    </row>
    <row r="231" customFormat="false" ht="15" hidden="false" customHeight="false" outlineLevel="0" collapsed="false">
      <c r="A231" s="5" t="str">
        <f aca="false">IF(OR(BOM!$D237="",BOM!$R237="Cancelled"),"",IF(BOM!A237="","",BOM!A237))</f>
        <v/>
      </c>
      <c r="B231" s="5" t="str">
        <f aca="false">IF(OR(BOM!$D237="",BOM!$R237="Cancelled"),"",IF(BOM!B237="","",BOM!B237))</f>
        <v/>
      </c>
      <c r="C231" s="5" t="str">
        <f aca="false">IF(OR(BOM!$D237="",BOM!$R237="Cancelled"),"",IF(BOM!C237="","",BOM!C237))</f>
        <v/>
      </c>
      <c r="D231" s="5" t="str">
        <f aca="false">IF(OR(BOM!$D237="",BOM!$R237="Cancelled"),"",IF(BOM!D237="","",BOM!D237))</f>
        <v/>
      </c>
      <c r="E231" s="5" t="str">
        <f aca="false">IF(OR(BOM!$D237="",BOM!$R237="Cancelled"),"",IF(BOM!E237="","",BOM!E237))</f>
        <v/>
      </c>
      <c r="F231" s="5" t="str">
        <f aca="false">IF(OR(BOM!$D237="",BOM!$R237="Cancelled"),"",IF(BOM!F237="","",BOM!F237))</f>
        <v/>
      </c>
      <c r="G231" s="5" t="str">
        <f aca="false">IF(OR(BOM!$D237="",BOM!$R237="Cancelled"),"",IF(BOM!J237="","",BOM!J237))</f>
        <v/>
      </c>
      <c r="H231" s="5" t="str">
        <f aca="false">IF(OR(BOM!$D237="",BOM!$R237="Cancelled"),"",IF(BOM!K237="","",BOM!K237))</f>
        <v/>
      </c>
      <c r="I231" s="5" t="str">
        <f aca="false">IF(OR(BOM!$D237="",BOM!$R237="Cancelled"),"",IF(BOM!M237="","",BOM!M237))</f>
        <v/>
      </c>
      <c r="J231" s="5" t="str">
        <f aca="false">IF(OR(BOM!$D237="",BOM!$R237="Cancelled"),"",IF(OR(BOM!R237="Received",BOM!R237="NSW Purchased"),"Received",IF(BOM!R237="Purchased – Not Received","Ordered",IF(BOM!R237="Finalized – Not Purchased","Design Released","In Design"))))</f>
        <v/>
      </c>
      <c r="K231" s="52" t="str">
        <f aca="false">IF(OR(BOM!$D237="",BOM!$R237="Cancelled"),"",IF(BOM!W237="","",BOM!W237))</f>
        <v/>
      </c>
    </row>
    <row r="232" customFormat="false" ht="15" hidden="false" customHeight="false" outlineLevel="0" collapsed="false">
      <c r="A232" s="5" t="str">
        <f aca="false">IF(OR(BOM!$D238="",BOM!$R238="Cancelled"),"",IF(BOM!A238="","",BOM!A238))</f>
        <v/>
      </c>
      <c r="B232" s="5" t="str">
        <f aca="false">IF(OR(BOM!$D238="",BOM!$R238="Cancelled"),"",IF(BOM!B238="","",BOM!B238))</f>
        <v/>
      </c>
      <c r="C232" s="5" t="str">
        <f aca="false">IF(OR(BOM!$D238="",BOM!$R238="Cancelled"),"",IF(BOM!C238="","",BOM!C238))</f>
        <v/>
      </c>
      <c r="D232" s="5" t="str">
        <f aca="false">IF(OR(BOM!$D238="",BOM!$R238="Cancelled"),"",IF(BOM!D238="","",BOM!D238))</f>
        <v/>
      </c>
      <c r="E232" s="5" t="str">
        <f aca="false">IF(OR(BOM!$D238="",BOM!$R238="Cancelled"),"",IF(BOM!E238="","",BOM!E238))</f>
        <v/>
      </c>
      <c r="F232" s="5" t="str">
        <f aca="false">IF(OR(BOM!$D238="",BOM!$R238="Cancelled"),"",IF(BOM!F238="","",BOM!F238))</f>
        <v/>
      </c>
      <c r="G232" s="5" t="str">
        <f aca="false">IF(OR(BOM!$D238="",BOM!$R238="Cancelled"),"",IF(BOM!J238="","",BOM!J238))</f>
        <v/>
      </c>
      <c r="H232" s="5" t="str">
        <f aca="false">IF(OR(BOM!$D238="",BOM!$R238="Cancelled"),"",IF(BOM!K238="","",BOM!K238))</f>
        <v/>
      </c>
      <c r="I232" s="5" t="str">
        <f aca="false">IF(OR(BOM!$D238="",BOM!$R238="Cancelled"),"",IF(BOM!M238="","",BOM!M238))</f>
        <v/>
      </c>
      <c r="J232" s="5" t="str">
        <f aca="false">IF(OR(BOM!$D238="",BOM!$R238="Cancelled"),"",IF(OR(BOM!R238="Received",BOM!R238="NSW Purchased"),"Received",IF(BOM!R238="Purchased – Not Received","Ordered",IF(BOM!R238="Finalized – Not Purchased","Design Released","In Design"))))</f>
        <v/>
      </c>
      <c r="K232" s="52" t="str">
        <f aca="false">IF(OR(BOM!$D238="",BOM!$R238="Cancelled"),"",IF(BOM!W238="","",BOM!W238))</f>
        <v/>
      </c>
    </row>
    <row r="233" customFormat="false" ht="15" hidden="false" customHeight="false" outlineLevel="0" collapsed="false">
      <c r="A233" s="5" t="str">
        <f aca="false">IF(OR(BOM!$D239="",BOM!$R239="Cancelled"),"",IF(BOM!A239="","",BOM!A239))</f>
        <v/>
      </c>
      <c r="B233" s="5" t="str">
        <f aca="false">IF(OR(BOM!$D239="",BOM!$R239="Cancelled"),"",IF(BOM!B239="","",BOM!B239))</f>
        <v/>
      </c>
      <c r="C233" s="5" t="str">
        <f aca="false">IF(OR(BOM!$D239="",BOM!$R239="Cancelled"),"",IF(BOM!C239="","",BOM!C239))</f>
        <v/>
      </c>
      <c r="D233" s="5" t="str">
        <f aca="false">IF(OR(BOM!$D239="",BOM!$R239="Cancelled"),"",IF(BOM!D239="","",BOM!D239))</f>
        <v/>
      </c>
      <c r="E233" s="5" t="str">
        <f aca="false">IF(OR(BOM!$D239="",BOM!$R239="Cancelled"),"",IF(BOM!E239="","",BOM!E239))</f>
        <v/>
      </c>
      <c r="F233" s="5" t="str">
        <f aca="false">IF(OR(BOM!$D239="",BOM!$R239="Cancelled"),"",IF(BOM!F239="","",BOM!F239))</f>
        <v/>
      </c>
      <c r="G233" s="5" t="str">
        <f aca="false">IF(OR(BOM!$D239="",BOM!$R239="Cancelled"),"",IF(BOM!J239="","",BOM!J239))</f>
        <v/>
      </c>
      <c r="H233" s="5" t="str">
        <f aca="false">IF(OR(BOM!$D239="",BOM!$R239="Cancelled"),"",IF(BOM!K239="","",BOM!K239))</f>
        <v/>
      </c>
      <c r="I233" s="5" t="str">
        <f aca="false">IF(OR(BOM!$D239="",BOM!$R239="Cancelled"),"",IF(BOM!M239="","",BOM!M239))</f>
        <v/>
      </c>
      <c r="J233" s="5" t="str">
        <f aca="false">IF(OR(BOM!$D239="",BOM!$R239="Cancelled"),"",IF(OR(BOM!R239="Received",BOM!R239="NSW Purchased"),"Received",IF(BOM!R239="Purchased – Not Received","Ordered",IF(BOM!R239="Finalized – Not Purchased","Design Released","In Design"))))</f>
        <v/>
      </c>
      <c r="K233" s="52" t="str">
        <f aca="false">IF(OR(BOM!$D239="",BOM!$R239="Cancelled"),"",IF(BOM!W239="","",BOM!W239))</f>
        <v/>
      </c>
    </row>
    <row r="234" customFormat="false" ht="15" hidden="false" customHeight="false" outlineLevel="0" collapsed="false">
      <c r="A234" s="5" t="str">
        <f aca="false">IF(OR(BOM!$D240="",BOM!$R240="Cancelled"),"",IF(BOM!A240="","",BOM!A240))</f>
        <v/>
      </c>
      <c r="B234" s="5" t="str">
        <f aca="false">IF(OR(BOM!$D240="",BOM!$R240="Cancelled"),"",IF(BOM!B240="","",BOM!B240))</f>
        <v/>
      </c>
      <c r="C234" s="5" t="str">
        <f aca="false">IF(OR(BOM!$D240="",BOM!$R240="Cancelled"),"",IF(BOM!C240="","",BOM!C240))</f>
        <v/>
      </c>
      <c r="D234" s="5" t="str">
        <f aca="false">IF(OR(BOM!$D240="",BOM!$R240="Cancelled"),"",IF(BOM!D240="","",BOM!D240))</f>
        <v/>
      </c>
      <c r="E234" s="5" t="str">
        <f aca="false">IF(OR(BOM!$D240="",BOM!$R240="Cancelled"),"",IF(BOM!E240="","",BOM!E240))</f>
        <v/>
      </c>
      <c r="F234" s="5" t="str">
        <f aca="false">IF(OR(BOM!$D240="",BOM!$R240="Cancelled"),"",IF(BOM!F240="","",BOM!F240))</f>
        <v/>
      </c>
      <c r="G234" s="5" t="str">
        <f aca="false">IF(OR(BOM!$D240="",BOM!$R240="Cancelled"),"",IF(BOM!J240="","",BOM!J240))</f>
        <v/>
      </c>
      <c r="H234" s="5" t="str">
        <f aca="false">IF(OR(BOM!$D240="",BOM!$R240="Cancelled"),"",IF(BOM!K240="","",BOM!K240))</f>
        <v/>
      </c>
      <c r="I234" s="5" t="str">
        <f aca="false">IF(OR(BOM!$D240="",BOM!$R240="Cancelled"),"",IF(BOM!M240="","",BOM!M240))</f>
        <v/>
      </c>
      <c r="J234" s="5" t="str">
        <f aca="false">IF(OR(BOM!$D240="",BOM!$R240="Cancelled"),"",IF(OR(BOM!R240="Received",BOM!R240="NSW Purchased"),"Received",IF(BOM!R240="Purchased – Not Received","Ordered",IF(BOM!R240="Finalized – Not Purchased","Design Released","In Design"))))</f>
        <v/>
      </c>
      <c r="K234" s="52" t="str">
        <f aca="false">IF(OR(BOM!$D240="",BOM!$R240="Cancelled"),"",IF(BOM!W240="","",BOM!W240))</f>
        <v/>
      </c>
    </row>
    <row r="235" customFormat="false" ht="15" hidden="false" customHeight="false" outlineLevel="0" collapsed="false">
      <c r="A235" s="5" t="str">
        <f aca="false">IF(OR(BOM!$D241="",BOM!$R241="Cancelled"),"",IF(BOM!A241="","",BOM!A241))</f>
        <v/>
      </c>
      <c r="B235" s="5" t="str">
        <f aca="false">IF(OR(BOM!$D241="",BOM!$R241="Cancelled"),"",IF(BOM!B241="","",BOM!B241))</f>
        <v/>
      </c>
      <c r="C235" s="5" t="str">
        <f aca="false">IF(OR(BOM!$D241="",BOM!$R241="Cancelled"),"",IF(BOM!C241="","",BOM!C241))</f>
        <v/>
      </c>
      <c r="D235" s="5" t="str">
        <f aca="false">IF(OR(BOM!$D241="",BOM!$R241="Cancelled"),"",IF(BOM!D241="","",BOM!D241))</f>
        <v/>
      </c>
      <c r="E235" s="5" t="str">
        <f aca="false">IF(OR(BOM!$D241="",BOM!$R241="Cancelled"),"",IF(BOM!E241="","",BOM!E241))</f>
        <v/>
      </c>
      <c r="F235" s="5" t="str">
        <f aca="false">IF(OR(BOM!$D241="",BOM!$R241="Cancelled"),"",IF(BOM!F241="","",BOM!F241))</f>
        <v/>
      </c>
      <c r="G235" s="5" t="str">
        <f aca="false">IF(OR(BOM!$D241="",BOM!$R241="Cancelled"),"",IF(BOM!J241="","",BOM!J241))</f>
        <v/>
      </c>
      <c r="H235" s="5" t="str">
        <f aca="false">IF(OR(BOM!$D241="",BOM!$R241="Cancelled"),"",IF(BOM!K241="","",BOM!K241))</f>
        <v/>
      </c>
      <c r="I235" s="5" t="str">
        <f aca="false">IF(OR(BOM!$D241="",BOM!$R241="Cancelled"),"",IF(BOM!M241="","",BOM!M241))</f>
        <v/>
      </c>
      <c r="J235" s="5" t="str">
        <f aca="false">IF(OR(BOM!$D241="",BOM!$R241="Cancelled"),"",IF(OR(BOM!R241="Received",BOM!R241="NSW Purchased"),"Received",IF(BOM!R241="Purchased – Not Received","Ordered",IF(BOM!R241="Finalized – Not Purchased","Design Released","In Design"))))</f>
        <v/>
      </c>
      <c r="K235" s="52" t="str">
        <f aca="false">IF(OR(BOM!$D241="",BOM!$R241="Cancelled"),"",IF(BOM!W241="","",BOM!W241))</f>
        <v/>
      </c>
    </row>
    <row r="236" customFormat="false" ht="15" hidden="false" customHeight="false" outlineLevel="0" collapsed="false">
      <c r="A236" s="5" t="str">
        <f aca="false">IF(OR(BOM!$D242="",BOM!$R242="Cancelled"),"",IF(BOM!A242="","",BOM!A242))</f>
        <v/>
      </c>
      <c r="B236" s="5" t="str">
        <f aca="false">IF(OR(BOM!$D242="",BOM!$R242="Cancelled"),"",IF(BOM!B242="","",BOM!B242))</f>
        <v/>
      </c>
      <c r="C236" s="5" t="str">
        <f aca="false">IF(OR(BOM!$D242="",BOM!$R242="Cancelled"),"",IF(BOM!C242="","",BOM!C242))</f>
        <v/>
      </c>
      <c r="D236" s="5" t="str">
        <f aca="false">IF(OR(BOM!$D242="",BOM!$R242="Cancelled"),"",IF(BOM!D242="","",BOM!D242))</f>
        <v/>
      </c>
      <c r="E236" s="5" t="str">
        <f aca="false">IF(OR(BOM!$D242="",BOM!$R242="Cancelled"),"",IF(BOM!E242="","",BOM!E242))</f>
        <v/>
      </c>
      <c r="F236" s="5" t="str">
        <f aca="false">IF(OR(BOM!$D242="",BOM!$R242="Cancelled"),"",IF(BOM!F242="","",BOM!F242))</f>
        <v/>
      </c>
      <c r="G236" s="5" t="str">
        <f aca="false">IF(OR(BOM!$D242="",BOM!$R242="Cancelled"),"",IF(BOM!J242="","",BOM!J242))</f>
        <v/>
      </c>
      <c r="H236" s="5" t="str">
        <f aca="false">IF(OR(BOM!$D242="",BOM!$R242="Cancelled"),"",IF(BOM!K242="","",BOM!K242))</f>
        <v/>
      </c>
      <c r="I236" s="5" t="str">
        <f aca="false">IF(OR(BOM!$D242="",BOM!$R242="Cancelled"),"",IF(BOM!M242="","",BOM!M242))</f>
        <v/>
      </c>
      <c r="J236" s="5" t="str">
        <f aca="false">IF(OR(BOM!$D242="",BOM!$R242="Cancelled"),"",IF(OR(BOM!R242="Received",BOM!R242="NSW Purchased"),"Received",IF(BOM!R242="Purchased – Not Received","Ordered",IF(BOM!R242="Finalized – Not Purchased","Design Released","In Design"))))</f>
        <v/>
      </c>
      <c r="K236" s="52" t="str">
        <f aca="false">IF(OR(BOM!$D242="",BOM!$R242="Cancelled"),"",IF(BOM!W242="","",BOM!W242))</f>
        <v/>
      </c>
    </row>
    <row r="237" customFormat="false" ht="15" hidden="false" customHeight="false" outlineLevel="0" collapsed="false">
      <c r="A237" s="5" t="str">
        <f aca="false">IF(OR(BOM!$D243="",BOM!$R243="Cancelled"),"",IF(BOM!A243="","",BOM!A243))</f>
        <v/>
      </c>
      <c r="B237" s="5" t="str">
        <f aca="false">IF(OR(BOM!$D243="",BOM!$R243="Cancelled"),"",IF(BOM!B243="","",BOM!B243))</f>
        <v/>
      </c>
      <c r="C237" s="5" t="str">
        <f aca="false">IF(OR(BOM!$D243="",BOM!$R243="Cancelled"),"",IF(BOM!C243="","",BOM!C243))</f>
        <v/>
      </c>
      <c r="D237" s="5" t="str">
        <f aca="false">IF(OR(BOM!$D243="",BOM!$R243="Cancelled"),"",IF(BOM!D243="","",BOM!D243))</f>
        <v/>
      </c>
      <c r="E237" s="5" t="str">
        <f aca="false">IF(OR(BOM!$D243="",BOM!$R243="Cancelled"),"",IF(BOM!E243="","",BOM!E243))</f>
        <v/>
      </c>
      <c r="F237" s="5" t="str">
        <f aca="false">IF(OR(BOM!$D243="",BOM!$R243="Cancelled"),"",IF(BOM!F243="","",BOM!F243))</f>
        <v/>
      </c>
      <c r="G237" s="5" t="str">
        <f aca="false">IF(OR(BOM!$D243="",BOM!$R243="Cancelled"),"",IF(BOM!J243="","",BOM!J243))</f>
        <v/>
      </c>
      <c r="H237" s="5" t="str">
        <f aca="false">IF(OR(BOM!$D243="",BOM!$R243="Cancelled"),"",IF(BOM!K243="","",BOM!K243))</f>
        <v/>
      </c>
      <c r="I237" s="5" t="str">
        <f aca="false">IF(OR(BOM!$D243="",BOM!$R243="Cancelled"),"",IF(BOM!M243="","",BOM!M243))</f>
        <v/>
      </c>
      <c r="J237" s="5" t="str">
        <f aca="false">IF(OR(BOM!$D243="",BOM!$R243="Cancelled"),"",IF(OR(BOM!R243="Received",BOM!R243="NSW Purchased"),"Received",IF(BOM!R243="Purchased – Not Received","Ordered",IF(BOM!R243="Finalized – Not Purchased","Design Released","In Design"))))</f>
        <v/>
      </c>
      <c r="K237" s="52" t="str">
        <f aca="false">IF(OR(BOM!$D243="",BOM!$R243="Cancelled"),"",IF(BOM!W243="","",BOM!W243))</f>
        <v/>
      </c>
    </row>
    <row r="238" customFormat="false" ht="15" hidden="false" customHeight="false" outlineLevel="0" collapsed="false">
      <c r="A238" s="5" t="str">
        <f aca="false">IF(OR(BOM!$D244="",BOM!$R244="Cancelled"),"",IF(BOM!A244="","",BOM!A244))</f>
        <v/>
      </c>
      <c r="B238" s="5" t="str">
        <f aca="false">IF(OR(BOM!$D244="",BOM!$R244="Cancelled"),"",IF(BOM!B244="","",BOM!B244))</f>
        <v/>
      </c>
      <c r="C238" s="5" t="str">
        <f aca="false">IF(OR(BOM!$D244="",BOM!$R244="Cancelled"),"",IF(BOM!C244="","",BOM!C244))</f>
        <v/>
      </c>
      <c r="D238" s="5" t="str">
        <f aca="false">IF(OR(BOM!$D244="",BOM!$R244="Cancelled"),"",IF(BOM!D244="","",BOM!D244))</f>
        <v/>
      </c>
      <c r="E238" s="5" t="str">
        <f aca="false">IF(OR(BOM!$D244="",BOM!$R244="Cancelled"),"",IF(BOM!E244="","",BOM!E244))</f>
        <v/>
      </c>
      <c r="F238" s="5" t="str">
        <f aca="false">IF(OR(BOM!$D244="",BOM!$R244="Cancelled"),"",IF(BOM!F244="","",BOM!F244))</f>
        <v/>
      </c>
      <c r="G238" s="5" t="str">
        <f aca="false">IF(OR(BOM!$D244="",BOM!$R244="Cancelled"),"",IF(BOM!J244="","",BOM!J244))</f>
        <v/>
      </c>
      <c r="H238" s="5" t="str">
        <f aca="false">IF(OR(BOM!$D244="",BOM!$R244="Cancelled"),"",IF(BOM!K244="","",BOM!K244))</f>
        <v/>
      </c>
      <c r="I238" s="5" t="str">
        <f aca="false">IF(OR(BOM!$D244="",BOM!$R244="Cancelled"),"",IF(BOM!M244="","",BOM!M244))</f>
        <v/>
      </c>
      <c r="J238" s="5" t="str">
        <f aca="false">IF(OR(BOM!$D244="",BOM!$R244="Cancelled"),"",IF(OR(BOM!R244="Received",BOM!R244="NSW Purchased"),"Received",IF(BOM!R244="Purchased – Not Received","Ordered",IF(BOM!R244="Finalized – Not Purchased","Design Released","In Design"))))</f>
        <v/>
      </c>
      <c r="K238" s="52" t="str">
        <f aca="false">IF(OR(BOM!$D244="",BOM!$R244="Cancelled"),"",IF(BOM!W244="","",BOM!W244))</f>
        <v/>
      </c>
    </row>
    <row r="239" customFormat="false" ht="15" hidden="false" customHeight="false" outlineLevel="0" collapsed="false">
      <c r="A239" s="5" t="str">
        <f aca="false">IF(OR(BOM!$D245="",BOM!$R245="Cancelled"),"",IF(BOM!A245="","",BOM!A245))</f>
        <v/>
      </c>
      <c r="B239" s="5" t="str">
        <f aca="false">IF(OR(BOM!$D245="",BOM!$R245="Cancelled"),"",IF(BOM!B245="","",BOM!B245))</f>
        <v/>
      </c>
      <c r="C239" s="5" t="str">
        <f aca="false">IF(OR(BOM!$D245="",BOM!$R245="Cancelled"),"",IF(BOM!C245="","",BOM!C245))</f>
        <v/>
      </c>
      <c r="D239" s="5" t="str">
        <f aca="false">IF(OR(BOM!$D245="",BOM!$R245="Cancelled"),"",IF(BOM!D245="","",BOM!D245))</f>
        <v/>
      </c>
      <c r="E239" s="5" t="str">
        <f aca="false">IF(OR(BOM!$D245="",BOM!$R245="Cancelled"),"",IF(BOM!E245="","",BOM!E245))</f>
        <v/>
      </c>
      <c r="F239" s="5" t="str">
        <f aca="false">IF(OR(BOM!$D245="",BOM!$R245="Cancelled"),"",IF(BOM!F245="","",BOM!F245))</f>
        <v/>
      </c>
      <c r="G239" s="5" t="str">
        <f aca="false">IF(OR(BOM!$D245="",BOM!$R245="Cancelled"),"",IF(BOM!J245="","",BOM!J245))</f>
        <v/>
      </c>
      <c r="H239" s="5" t="str">
        <f aca="false">IF(OR(BOM!$D245="",BOM!$R245="Cancelled"),"",IF(BOM!K245="","",BOM!K245))</f>
        <v/>
      </c>
      <c r="I239" s="5" t="str">
        <f aca="false">IF(OR(BOM!$D245="",BOM!$R245="Cancelled"),"",IF(BOM!M245="","",BOM!M245))</f>
        <v/>
      </c>
      <c r="J239" s="5" t="str">
        <f aca="false">IF(OR(BOM!$D245="",BOM!$R245="Cancelled"),"",IF(OR(BOM!R245="Received",BOM!R245="NSW Purchased"),"Received",IF(BOM!R245="Purchased – Not Received","Ordered",IF(BOM!R245="Finalized – Not Purchased","Design Released","In Design"))))</f>
        <v/>
      </c>
      <c r="K239" s="52" t="str">
        <f aca="false">IF(OR(BOM!$D245="",BOM!$R245="Cancelled"),"",IF(BOM!W245="","",BOM!W245))</f>
        <v/>
      </c>
    </row>
    <row r="240" customFormat="false" ht="15" hidden="false" customHeight="false" outlineLevel="0" collapsed="false">
      <c r="A240" s="5" t="str">
        <f aca="false">IF(OR(BOM!$D246="",BOM!$R246="Cancelled"),"",IF(BOM!A246="","",BOM!A246))</f>
        <v/>
      </c>
      <c r="B240" s="5" t="str">
        <f aca="false">IF(OR(BOM!$D246="",BOM!$R246="Cancelled"),"",IF(BOM!B246="","",BOM!B246))</f>
        <v/>
      </c>
      <c r="C240" s="5" t="str">
        <f aca="false">IF(OR(BOM!$D246="",BOM!$R246="Cancelled"),"",IF(BOM!C246="","",BOM!C246))</f>
        <v/>
      </c>
      <c r="D240" s="5" t="str">
        <f aca="false">IF(OR(BOM!$D246="",BOM!$R246="Cancelled"),"",IF(BOM!D246="","",BOM!D246))</f>
        <v/>
      </c>
      <c r="E240" s="5" t="str">
        <f aca="false">IF(OR(BOM!$D246="",BOM!$R246="Cancelled"),"",IF(BOM!E246="","",BOM!E246))</f>
        <v/>
      </c>
      <c r="F240" s="5" t="str">
        <f aca="false">IF(OR(BOM!$D246="",BOM!$R246="Cancelled"),"",IF(BOM!F246="","",BOM!F246))</f>
        <v/>
      </c>
      <c r="G240" s="5" t="str">
        <f aca="false">IF(OR(BOM!$D246="",BOM!$R246="Cancelled"),"",IF(BOM!J246="","",BOM!J246))</f>
        <v/>
      </c>
      <c r="H240" s="5" t="str">
        <f aca="false">IF(OR(BOM!$D246="",BOM!$R246="Cancelled"),"",IF(BOM!K246="","",BOM!K246))</f>
        <v/>
      </c>
      <c r="I240" s="5" t="str">
        <f aca="false">IF(OR(BOM!$D246="",BOM!$R246="Cancelled"),"",IF(BOM!M246="","",BOM!M246))</f>
        <v/>
      </c>
      <c r="J240" s="5" t="str">
        <f aca="false">IF(OR(BOM!$D246="",BOM!$R246="Cancelled"),"",IF(OR(BOM!R246="Received",BOM!R246="NSW Purchased"),"Received",IF(BOM!R246="Purchased – Not Received","Ordered",IF(BOM!R246="Finalized – Not Purchased","Design Released","In Design"))))</f>
        <v/>
      </c>
      <c r="K240" s="52" t="str">
        <f aca="false">IF(OR(BOM!$D246="",BOM!$R246="Cancelled"),"",IF(BOM!W246="","",BOM!W246))</f>
        <v/>
      </c>
    </row>
    <row r="241" customFormat="false" ht="15" hidden="false" customHeight="false" outlineLevel="0" collapsed="false">
      <c r="A241" s="5" t="str">
        <f aca="false">IF(OR(BOM!$D247="",BOM!$R247="Cancelled"),"",IF(BOM!A247="","",BOM!A247))</f>
        <v/>
      </c>
      <c r="B241" s="5" t="str">
        <f aca="false">IF(OR(BOM!$D247="",BOM!$R247="Cancelled"),"",IF(BOM!B247="","",BOM!B247))</f>
        <v/>
      </c>
      <c r="C241" s="5" t="str">
        <f aca="false">IF(OR(BOM!$D247="",BOM!$R247="Cancelled"),"",IF(BOM!C247="","",BOM!C247))</f>
        <v/>
      </c>
      <c r="D241" s="5" t="str">
        <f aca="false">IF(OR(BOM!$D247="",BOM!$R247="Cancelled"),"",IF(BOM!D247="","",BOM!D247))</f>
        <v/>
      </c>
      <c r="E241" s="5" t="str">
        <f aca="false">IF(OR(BOM!$D247="",BOM!$R247="Cancelled"),"",IF(BOM!E247="","",BOM!E247))</f>
        <v/>
      </c>
      <c r="F241" s="5" t="str">
        <f aca="false">IF(OR(BOM!$D247="",BOM!$R247="Cancelled"),"",IF(BOM!F247="","",BOM!F247))</f>
        <v/>
      </c>
      <c r="G241" s="5" t="str">
        <f aca="false">IF(OR(BOM!$D247="",BOM!$R247="Cancelled"),"",IF(BOM!J247="","",BOM!J247))</f>
        <v/>
      </c>
      <c r="H241" s="5" t="str">
        <f aca="false">IF(OR(BOM!$D247="",BOM!$R247="Cancelled"),"",IF(BOM!K247="","",BOM!K247))</f>
        <v/>
      </c>
      <c r="I241" s="5" t="str">
        <f aca="false">IF(OR(BOM!$D247="",BOM!$R247="Cancelled"),"",IF(BOM!M247="","",BOM!M247))</f>
        <v/>
      </c>
      <c r="J241" s="5" t="str">
        <f aca="false">IF(OR(BOM!$D247="",BOM!$R247="Cancelled"),"",IF(OR(BOM!R247="Received",BOM!R247="NSW Purchased"),"Received",IF(BOM!R247="Purchased – Not Received","Ordered",IF(BOM!R247="Finalized – Not Purchased","Design Released","In Design"))))</f>
        <v/>
      </c>
      <c r="K241" s="52" t="str">
        <f aca="false">IF(OR(BOM!$D247="",BOM!$R247="Cancelled"),"",IF(BOM!W247="","",BOM!W247))</f>
        <v/>
      </c>
    </row>
    <row r="242" customFormat="false" ht="15" hidden="false" customHeight="false" outlineLevel="0" collapsed="false">
      <c r="A242" s="5" t="str">
        <f aca="false">IF(OR(BOM!$D248="",BOM!$R248="Cancelled"),"",IF(BOM!A248="","",BOM!A248))</f>
        <v/>
      </c>
      <c r="B242" s="5" t="str">
        <f aca="false">IF(OR(BOM!$D248="",BOM!$R248="Cancelled"),"",IF(BOM!B248="","",BOM!B248))</f>
        <v/>
      </c>
      <c r="C242" s="5" t="str">
        <f aca="false">IF(OR(BOM!$D248="",BOM!$R248="Cancelled"),"",IF(BOM!C248="","",BOM!C248))</f>
        <v/>
      </c>
      <c r="D242" s="5" t="str">
        <f aca="false">IF(OR(BOM!$D248="",BOM!$R248="Cancelled"),"",IF(BOM!D248="","",BOM!D248))</f>
        <v/>
      </c>
      <c r="E242" s="5" t="str">
        <f aca="false">IF(OR(BOM!$D248="",BOM!$R248="Cancelled"),"",IF(BOM!E248="","",BOM!E248))</f>
        <v/>
      </c>
      <c r="F242" s="5" t="str">
        <f aca="false">IF(OR(BOM!$D248="",BOM!$R248="Cancelled"),"",IF(BOM!F248="","",BOM!F248))</f>
        <v/>
      </c>
      <c r="G242" s="5" t="str">
        <f aca="false">IF(OR(BOM!$D248="",BOM!$R248="Cancelled"),"",IF(BOM!J248="","",BOM!J248))</f>
        <v/>
      </c>
      <c r="H242" s="5" t="str">
        <f aca="false">IF(OR(BOM!$D248="",BOM!$R248="Cancelled"),"",IF(BOM!K248="","",BOM!K248))</f>
        <v/>
      </c>
      <c r="I242" s="5" t="str">
        <f aca="false">IF(OR(BOM!$D248="",BOM!$R248="Cancelled"),"",IF(BOM!M248="","",BOM!M248))</f>
        <v/>
      </c>
      <c r="J242" s="5" t="str">
        <f aca="false">IF(OR(BOM!$D248="",BOM!$R248="Cancelled"),"",IF(OR(BOM!R248="Received",BOM!R248="NSW Purchased"),"Received",IF(BOM!R248="Purchased – Not Received","Ordered",IF(BOM!R248="Finalized – Not Purchased","Design Released","In Design"))))</f>
        <v/>
      </c>
      <c r="K242" s="52" t="str">
        <f aca="false">IF(OR(BOM!$D248="",BOM!$R248="Cancelled"),"",IF(BOM!W248="","",BOM!W248))</f>
        <v/>
      </c>
    </row>
    <row r="243" customFormat="false" ht="15" hidden="false" customHeight="false" outlineLevel="0" collapsed="false">
      <c r="A243" s="5" t="str">
        <f aca="false">IF(OR(BOM!$D249="",BOM!$R249="Cancelled"),"",IF(BOM!A249="","",BOM!A249))</f>
        <v/>
      </c>
      <c r="B243" s="5" t="str">
        <f aca="false">IF(OR(BOM!$D249="",BOM!$R249="Cancelled"),"",IF(BOM!B249="","",BOM!B249))</f>
        <v/>
      </c>
      <c r="C243" s="5" t="str">
        <f aca="false">IF(OR(BOM!$D249="",BOM!$R249="Cancelled"),"",IF(BOM!C249="","",BOM!C249))</f>
        <v/>
      </c>
      <c r="D243" s="5" t="str">
        <f aca="false">IF(OR(BOM!$D249="",BOM!$R249="Cancelled"),"",IF(BOM!D249="","",BOM!D249))</f>
        <v/>
      </c>
      <c r="E243" s="5" t="str">
        <f aca="false">IF(OR(BOM!$D249="",BOM!$R249="Cancelled"),"",IF(BOM!E249="","",BOM!E249))</f>
        <v/>
      </c>
      <c r="F243" s="5" t="str">
        <f aca="false">IF(OR(BOM!$D249="",BOM!$R249="Cancelled"),"",IF(BOM!F249="","",BOM!F249))</f>
        <v/>
      </c>
      <c r="G243" s="5" t="str">
        <f aca="false">IF(OR(BOM!$D249="",BOM!$R249="Cancelled"),"",IF(BOM!J249="","",BOM!J249))</f>
        <v/>
      </c>
      <c r="H243" s="5" t="str">
        <f aca="false">IF(OR(BOM!$D249="",BOM!$R249="Cancelled"),"",IF(BOM!K249="","",BOM!K249))</f>
        <v/>
      </c>
      <c r="I243" s="5" t="str">
        <f aca="false">IF(OR(BOM!$D249="",BOM!$R249="Cancelled"),"",IF(BOM!M249="","",BOM!M249))</f>
        <v/>
      </c>
      <c r="J243" s="5" t="str">
        <f aca="false">IF(OR(BOM!$D249="",BOM!$R249="Cancelled"),"",IF(OR(BOM!R249="Received",BOM!R249="NSW Purchased"),"Received",IF(BOM!R249="Purchased – Not Received","Ordered",IF(BOM!R249="Finalized – Not Purchased","Design Released","In Design"))))</f>
        <v/>
      </c>
      <c r="K243" s="52" t="str">
        <f aca="false">IF(OR(BOM!$D249="",BOM!$R249="Cancelled"),"",IF(BOM!W249="","",BOM!W249))</f>
        <v/>
      </c>
    </row>
    <row r="244" customFormat="false" ht="15" hidden="false" customHeight="false" outlineLevel="0" collapsed="false">
      <c r="A244" s="5" t="str">
        <f aca="false">IF(OR(BOM!$D250="",BOM!$R250="Cancelled"),"",IF(BOM!A250="","",BOM!A250))</f>
        <v/>
      </c>
      <c r="B244" s="5" t="str">
        <f aca="false">IF(OR(BOM!$D250="",BOM!$R250="Cancelled"),"",IF(BOM!B250="","",BOM!B250))</f>
        <v/>
      </c>
      <c r="C244" s="5" t="str">
        <f aca="false">IF(OR(BOM!$D250="",BOM!$R250="Cancelled"),"",IF(BOM!C250="","",BOM!C250))</f>
        <v/>
      </c>
      <c r="D244" s="5" t="str">
        <f aca="false">IF(OR(BOM!$D250="",BOM!$R250="Cancelled"),"",IF(BOM!D250="","",BOM!D250))</f>
        <v/>
      </c>
      <c r="E244" s="5" t="str">
        <f aca="false">IF(OR(BOM!$D250="",BOM!$R250="Cancelled"),"",IF(BOM!E250="","",BOM!E250))</f>
        <v/>
      </c>
      <c r="F244" s="5" t="str">
        <f aca="false">IF(OR(BOM!$D250="",BOM!$R250="Cancelled"),"",IF(BOM!F250="","",BOM!F250))</f>
        <v/>
      </c>
      <c r="G244" s="5" t="str">
        <f aca="false">IF(OR(BOM!$D250="",BOM!$R250="Cancelled"),"",IF(BOM!J250="","",BOM!J250))</f>
        <v/>
      </c>
      <c r="H244" s="5" t="str">
        <f aca="false">IF(OR(BOM!$D250="",BOM!$R250="Cancelled"),"",IF(BOM!K250="","",BOM!K250))</f>
        <v/>
      </c>
      <c r="I244" s="5" t="str">
        <f aca="false">IF(OR(BOM!$D250="",BOM!$R250="Cancelled"),"",IF(BOM!M250="","",BOM!M250))</f>
        <v/>
      </c>
      <c r="J244" s="5" t="str">
        <f aca="false">IF(OR(BOM!$D250="",BOM!$R250="Cancelled"),"",IF(OR(BOM!R250="Received",BOM!R250="NSW Purchased"),"Received",IF(BOM!R250="Purchased – Not Received","Ordered",IF(BOM!R250="Finalized – Not Purchased","Design Released","In Design"))))</f>
        <v/>
      </c>
      <c r="K244" s="52" t="str">
        <f aca="false">IF(OR(BOM!$D250="",BOM!$R250="Cancelled"),"",IF(BOM!W250="","",BOM!W250))</f>
        <v/>
      </c>
    </row>
    <row r="245" customFormat="false" ht="15" hidden="false" customHeight="false" outlineLevel="0" collapsed="false">
      <c r="A245" s="5" t="str">
        <f aca="false">IF(OR(BOM!$D251="",BOM!$R251="Cancelled"),"",IF(BOM!A251="","",BOM!A251))</f>
        <v/>
      </c>
      <c r="B245" s="5" t="str">
        <f aca="false">IF(OR(BOM!$D251="",BOM!$R251="Cancelled"),"",IF(BOM!B251="","",BOM!B251))</f>
        <v/>
      </c>
      <c r="C245" s="5" t="str">
        <f aca="false">IF(OR(BOM!$D251="",BOM!$R251="Cancelled"),"",IF(BOM!C251="","",BOM!C251))</f>
        <v/>
      </c>
      <c r="D245" s="5" t="str">
        <f aca="false">IF(OR(BOM!$D251="",BOM!$R251="Cancelled"),"",IF(BOM!D251="","",BOM!D251))</f>
        <v/>
      </c>
      <c r="E245" s="5" t="str">
        <f aca="false">IF(OR(BOM!$D251="",BOM!$R251="Cancelled"),"",IF(BOM!E251="","",BOM!E251))</f>
        <v/>
      </c>
      <c r="F245" s="5" t="str">
        <f aca="false">IF(OR(BOM!$D251="",BOM!$R251="Cancelled"),"",IF(BOM!F251="","",BOM!F251))</f>
        <v/>
      </c>
      <c r="G245" s="5" t="str">
        <f aca="false">IF(OR(BOM!$D251="",BOM!$R251="Cancelled"),"",IF(BOM!J251="","",BOM!J251))</f>
        <v/>
      </c>
      <c r="H245" s="5" t="str">
        <f aca="false">IF(OR(BOM!$D251="",BOM!$R251="Cancelled"),"",IF(BOM!K251="","",BOM!K251))</f>
        <v/>
      </c>
      <c r="I245" s="5" t="str">
        <f aca="false">IF(OR(BOM!$D251="",BOM!$R251="Cancelled"),"",IF(BOM!M251="","",BOM!M251))</f>
        <v/>
      </c>
      <c r="J245" s="5" t="str">
        <f aca="false">IF(OR(BOM!$D251="",BOM!$R251="Cancelled"),"",IF(OR(BOM!R251="Received",BOM!R251="NSW Purchased"),"Received",IF(BOM!R251="Purchased – Not Received","Ordered",IF(BOM!R251="Finalized – Not Purchased","Design Released","In Design"))))</f>
        <v/>
      </c>
      <c r="K245" s="52" t="str">
        <f aca="false">IF(OR(BOM!$D251="",BOM!$R251="Cancelled"),"",IF(BOM!W251="","",BOM!W251))</f>
        <v/>
      </c>
    </row>
    <row r="246" customFormat="false" ht="15" hidden="false" customHeight="false" outlineLevel="0" collapsed="false">
      <c r="A246" s="5" t="str">
        <f aca="false">IF(OR(BOM!$D252="",BOM!$R252="Cancelled"),"",IF(BOM!A252="","",BOM!A252))</f>
        <v/>
      </c>
      <c r="B246" s="5" t="str">
        <f aca="false">IF(OR(BOM!$D252="",BOM!$R252="Cancelled"),"",IF(BOM!B252="","",BOM!B252))</f>
        <v/>
      </c>
      <c r="C246" s="5" t="str">
        <f aca="false">IF(OR(BOM!$D252="",BOM!$R252="Cancelled"),"",IF(BOM!C252="","",BOM!C252))</f>
        <v/>
      </c>
      <c r="D246" s="5" t="str">
        <f aca="false">IF(OR(BOM!$D252="",BOM!$R252="Cancelled"),"",IF(BOM!D252="","",BOM!D252))</f>
        <v/>
      </c>
      <c r="E246" s="5" t="str">
        <f aca="false">IF(OR(BOM!$D252="",BOM!$R252="Cancelled"),"",IF(BOM!E252="","",BOM!E252))</f>
        <v/>
      </c>
      <c r="F246" s="5" t="str">
        <f aca="false">IF(OR(BOM!$D252="",BOM!$R252="Cancelled"),"",IF(BOM!F252="","",BOM!F252))</f>
        <v/>
      </c>
      <c r="G246" s="5" t="str">
        <f aca="false">IF(OR(BOM!$D252="",BOM!$R252="Cancelled"),"",IF(BOM!J252="","",BOM!J252))</f>
        <v/>
      </c>
      <c r="H246" s="5" t="str">
        <f aca="false">IF(OR(BOM!$D252="",BOM!$R252="Cancelled"),"",IF(BOM!K252="","",BOM!K252))</f>
        <v/>
      </c>
      <c r="I246" s="5" t="str">
        <f aca="false">IF(OR(BOM!$D252="",BOM!$R252="Cancelled"),"",IF(BOM!M252="","",BOM!M252))</f>
        <v/>
      </c>
      <c r="J246" s="5" t="str">
        <f aca="false">IF(OR(BOM!$D252="",BOM!$R252="Cancelled"),"",IF(OR(BOM!R252="Received",BOM!R252="NSW Purchased"),"Received",IF(BOM!R252="Purchased – Not Received","Ordered",IF(BOM!R252="Finalized – Not Purchased","Design Released","In Design"))))</f>
        <v/>
      </c>
      <c r="K246" s="52" t="str">
        <f aca="false">IF(OR(BOM!$D252="",BOM!$R252="Cancelled"),"",IF(BOM!W252="","",BOM!W252))</f>
        <v/>
      </c>
    </row>
    <row r="247" customFormat="false" ht="15" hidden="false" customHeight="false" outlineLevel="0" collapsed="false">
      <c r="A247" s="5" t="str">
        <f aca="false">IF(OR(BOM!$D253="",BOM!$R253="Cancelled"),"",IF(BOM!A253="","",BOM!A253))</f>
        <v/>
      </c>
      <c r="B247" s="5" t="str">
        <f aca="false">IF(OR(BOM!$D253="",BOM!$R253="Cancelled"),"",IF(BOM!B253="","",BOM!B253))</f>
        <v/>
      </c>
      <c r="C247" s="5" t="str">
        <f aca="false">IF(OR(BOM!$D253="",BOM!$R253="Cancelled"),"",IF(BOM!C253="","",BOM!C253))</f>
        <v/>
      </c>
      <c r="D247" s="5" t="str">
        <f aca="false">IF(OR(BOM!$D253="",BOM!$R253="Cancelled"),"",IF(BOM!D253="","",BOM!D253))</f>
        <v/>
      </c>
      <c r="E247" s="5" t="str">
        <f aca="false">IF(OR(BOM!$D253="",BOM!$R253="Cancelled"),"",IF(BOM!E253="","",BOM!E253))</f>
        <v/>
      </c>
      <c r="F247" s="5" t="str">
        <f aca="false">IF(OR(BOM!$D253="",BOM!$R253="Cancelled"),"",IF(BOM!F253="","",BOM!F253))</f>
        <v/>
      </c>
      <c r="G247" s="5" t="str">
        <f aca="false">IF(OR(BOM!$D253="",BOM!$R253="Cancelled"),"",IF(BOM!J253="","",BOM!J253))</f>
        <v/>
      </c>
      <c r="H247" s="5" t="str">
        <f aca="false">IF(OR(BOM!$D253="",BOM!$R253="Cancelled"),"",IF(BOM!K253="","",BOM!K253))</f>
        <v/>
      </c>
      <c r="I247" s="5" t="str">
        <f aca="false">IF(OR(BOM!$D253="",BOM!$R253="Cancelled"),"",IF(BOM!M253="","",BOM!M253))</f>
        <v/>
      </c>
      <c r="J247" s="5" t="str">
        <f aca="false">IF(OR(BOM!$D253="",BOM!$R253="Cancelled"),"",IF(OR(BOM!R253="Received",BOM!R253="NSW Purchased"),"Received",IF(BOM!R253="Purchased – Not Received","Ordered",IF(BOM!R253="Finalized – Not Purchased","Design Released","In Design"))))</f>
        <v/>
      </c>
      <c r="K247" s="52" t="str">
        <f aca="false">IF(OR(BOM!$D253="",BOM!$R253="Cancelled"),"",IF(BOM!W253="","",BOM!W253))</f>
        <v/>
      </c>
    </row>
    <row r="248" customFormat="false" ht="15" hidden="false" customHeight="false" outlineLevel="0" collapsed="false">
      <c r="A248" s="5" t="str">
        <f aca="false">IF(OR(BOM!$D254="",BOM!$R254="Cancelled"),"",IF(BOM!A254="","",BOM!A254))</f>
        <v/>
      </c>
      <c r="B248" s="5" t="str">
        <f aca="false">IF(OR(BOM!$D254="",BOM!$R254="Cancelled"),"",IF(BOM!B254="","",BOM!B254))</f>
        <v/>
      </c>
      <c r="C248" s="5" t="str">
        <f aca="false">IF(OR(BOM!$D254="",BOM!$R254="Cancelled"),"",IF(BOM!C254="","",BOM!C254))</f>
        <v/>
      </c>
      <c r="D248" s="5" t="str">
        <f aca="false">IF(OR(BOM!$D254="",BOM!$R254="Cancelled"),"",IF(BOM!D254="","",BOM!D254))</f>
        <v/>
      </c>
      <c r="E248" s="5" t="str">
        <f aca="false">IF(OR(BOM!$D254="",BOM!$R254="Cancelled"),"",IF(BOM!E254="","",BOM!E254))</f>
        <v/>
      </c>
      <c r="F248" s="5" t="str">
        <f aca="false">IF(OR(BOM!$D254="",BOM!$R254="Cancelled"),"",IF(BOM!F254="","",BOM!F254))</f>
        <v/>
      </c>
      <c r="G248" s="5" t="str">
        <f aca="false">IF(OR(BOM!$D254="",BOM!$R254="Cancelled"),"",IF(BOM!J254="","",BOM!J254))</f>
        <v/>
      </c>
      <c r="H248" s="5" t="str">
        <f aca="false">IF(OR(BOM!$D254="",BOM!$R254="Cancelled"),"",IF(BOM!K254="","",BOM!K254))</f>
        <v/>
      </c>
      <c r="I248" s="5" t="str">
        <f aca="false">IF(OR(BOM!$D254="",BOM!$R254="Cancelled"),"",IF(BOM!M254="","",BOM!M254))</f>
        <v/>
      </c>
      <c r="J248" s="5" t="str">
        <f aca="false">IF(OR(BOM!$D254="",BOM!$R254="Cancelled"),"",IF(OR(BOM!R254="Received",BOM!R254="NSW Purchased"),"Received",IF(BOM!R254="Purchased – Not Received","Ordered",IF(BOM!R254="Finalized – Not Purchased","Design Released","In Design"))))</f>
        <v/>
      </c>
      <c r="K248" s="52" t="str">
        <f aca="false">IF(OR(BOM!$D254="",BOM!$R254="Cancelled"),"",IF(BOM!W254="","",BOM!W254))</f>
        <v/>
      </c>
    </row>
    <row r="249" customFormat="false" ht="15" hidden="false" customHeight="false" outlineLevel="0" collapsed="false">
      <c r="A249" s="5" t="str">
        <f aca="false">IF(OR(BOM!$D255="",BOM!$R255="Cancelled"),"",IF(BOM!A255="","",BOM!A255))</f>
        <v/>
      </c>
      <c r="B249" s="5" t="str">
        <f aca="false">IF(OR(BOM!$D255="",BOM!$R255="Cancelled"),"",IF(BOM!B255="","",BOM!B255))</f>
        <v/>
      </c>
      <c r="C249" s="5" t="str">
        <f aca="false">IF(OR(BOM!$D255="",BOM!$R255="Cancelled"),"",IF(BOM!C255="","",BOM!C255))</f>
        <v/>
      </c>
      <c r="D249" s="5" t="str">
        <f aca="false">IF(OR(BOM!$D255="",BOM!$R255="Cancelled"),"",IF(BOM!D255="","",BOM!D255))</f>
        <v/>
      </c>
      <c r="E249" s="5" t="str">
        <f aca="false">IF(OR(BOM!$D255="",BOM!$R255="Cancelled"),"",IF(BOM!E255="","",BOM!E255))</f>
        <v/>
      </c>
      <c r="F249" s="5" t="str">
        <f aca="false">IF(OR(BOM!$D255="",BOM!$R255="Cancelled"),"",IF(BOM!F255="","",BOM!F255))</f>
        <v/>
      </c>
      <c r="G249" s="5" t="str">
        <f aca="false">IF(OR(BOM!$D255="",BOM!$R255="Cancelled"),"",IF(BOM!J255="","",BOM!J255))</f>
        <v/>
      </c>
      <c r="H249" s="5" t="str">
        <f aca="false">IF(OR(BOM!$D255="",BOM!$R255="Cancelled"),"",IF(BOM!K255="","",BOM!K255))</f>
        <v/>
      </c>
      <c r="I249" s="5" t="str">
        <f aca="false">IF(OR(BOM!$D255="",BOM!$R255="Cancelled"),"",IF(BOM!M255="","",BOM!M255))</f>
        <v/>
      </c>
      <c r="J249" s="5" t="str">
        <f aca="false">IF(OR(BOM!$D255="",BOM!$R255="Cancelled"),"",IF(OR(BOM!R255="Received",BOM!R255="NSW Purchased"),"Received",IF(BOM!R255="Purchased – Not Received","Ordered",IF(BOM!R255="Finalized – Not Purchased","Design Released","In Design"))))</f>
        <v/>
      </c>
      <c r="K249" s="52" t="str">
        <f aca="false">IF(OR(BOM!$D255="",BOM!$R255="Cancelled"),"",IF(BOM!W255="","",BOM!W255))</f>
        <v/>
      </c>
    </row>
    <row r="250" customFormat="false" ht="15" hidden="false" customHeight="false" outlineLevel="0" collapsed="false">
      <c r="A250" s="5" t="str">
        <f aca="false">IF(OR(BOM!$D256="",BOM!$R256="Cancelled"),"",IF(BOM!A256="","",BOM!A256))</f>
        <v/>
      </c>
      <c r="B250" s="5" t="str">
        <f aca="false">IF(OR(BOM!$D256="",BOM!$R256="Cancelled"),"",IF(BOM!B256="","",BOM!B256))</f>
        <v/>
      </c>
      <c r="C250" s="5" t="str">
        <f aca="false">IF(OR(BOM!$D256="",BOM!$R256="Cancelled"),"",IF(BOM!C256="","",BOM!C256))</f>
        <v/>
      </c>
      <c r="D250" s="5" t="str">
        <f aca="false">IF(OR(BOM!$D256="",BOM!$R256="Cancelled"),"",IF(BOM!D256="","",BOM!D256))</f>
        <v/>
      </c>
      <c r="E250" s="5" t="str">
        <f aca="false">IF(OR(BOM!$D256="",BOM!$R256="Cancelled"),"",IF(BOM!E256="","",BOM!E256))</f>
        <v/>
      </c>
      <c r="F250" s="5" t="str">
        <f aca="false">IF(OR(BOM!$D256="",BOM!$R256="Cancelled"),"",IF(BOM!F256="","",BOM!F256))</f>
        <v/>
      </c>
      <c r="G250" s="5" t="str">
        <f aca="false">IF(OR(BOM!$D256="",BOM!$R256="Cancelled"),"",IF(BOM!J256="","",BOM!J256))</f>
        <v/>
      </c>
      <c r="H250" s="5" t="str">
        <f aca="false">IF(OR(BOM!$D256="",BOM!$R256="Cancelled"),"",IF(BOM!K256="","",BOM!K256))</f>
        <v/>
      </c>
      <c r="I250" s="5" t="str">
        <f aca="false">IF(OR(BOM!$D256="",BOM!$R256="Cancelled"),"",IF(BOM!M256="","",BOM!M256))</f>
        <v/>
      </c>
      <c r="J250" s="5" t="str">
        <f aca="false">IF(OR(BOM!$D256="",BOM!$R256="Cancelled"),"",IF(OR(BOM!R256="Received",BOM!R256="NSW Purchased"),"Received",IF(BOM!R256="Purchased – Not Received","Ordered",IF(BOM!R256="Finalized – Not Purchased","Design Released","In Design"))))</f>
        <v/>
      </c>
      <c r="K250" s="52" t="str">
        <f aca="false">IF(OR(BOM!$D256="",BOM!$R256="Cancelled"),"",IF(BOM!W256="","",BOM!W256))</f>
        <v/>
      </c>
    </row>
    <row r="251" customFormat="false" ht="15" hidden="false" customHeight="false" outlineLevel="0" collapsed="false">
      <c r="A251" s="5" t="str">
        <f aca="false">IF(OR(BOM!$D257="",BOM!$R257="Cancelled"),"",IF(BOM!A257="","",BOM!A257))</f>
        <v/>
      </c>
      <c r="B251" s="5" t="str">
        <f aca="false">IF(OR(BOM!$D257="",BOM!$R257="Cancelled"),"",IF(BOM!B257="","",BOM!B257))</f>
        <v/>
      </c>
      <c r="C251" s="5" t="str">
        <f aca="false">IF(OR(BOM!$D257="",BOM!$R257="Cancelled"),"",IF(BOM!C257="","",BOM!C257))</f>
        <v/>
      </c>
      <c r="D251" s="5" t="str">
        <f aca="false">IF(OR(BOM!$D257="",BOM!$R257="Cancelled"),"",IF(BOM!D257="","",BOM!D257))</f>
        <v/>
      </c>
      <c r="E251" s="5" t="str">
        <f aca="false">IF(OR(BOM!$D257="",BOM!$R257="Cancelled"),"",IF(BOM!E257="","",BOM!E257))</f>
        <v/>
      </c>
      <c r="F251" s="5" t="str">
        <f aca="false">IF(OR(BOM!$D257="",BOM!$R257="Cancelled"),"",IF(BOM!F257="","",BOM!F257))</f>
        <v/>
      </c>
      <c r="G251" s="5" t="str">
        <f aca="false">IF(OR(BOM!$D257="",BOM!$R257="Cancelled"),"",IF(BOM!J257="","",BOM!J257))</f>
        <v/>
      </c>
      <c r="H251" s="5" t="str">
        <f aca="false">IF(OR(BOM!$D257="",BOM!$R257="Cancelled"),"",IF(BOM!K257="","",BOM!K257))</f>
        <v/>
      </c>
      <c r="I251" s="5" t="str">
        <f aca="false">IF(OR(BOM!$D257="",BOM!$R257="Cancelled"),"",IF(BOM!M257="","",BOM!M257))</f>
        <v/>
      </c>
      <c r="J251" s="5" t="str">
        <f aca="false">IF(OR(BOM!$D257="",BOM!$R257="Cancelled"),"",IF(OR(BOM!R257="Received",BOM!R257="NSW Purchased"),"Received",IF(BOM!R257="Purchased – Not Received","Ordered",IF(BOM!R257="Finalized – Not Purchased","Design Released","In Design"))))</f>
        <v/>
      </c>
      <c r="K251" s="52" t="str">
        <f aca="false">IF(OR(BOM!$D257="",BOM!$R257="Cancelled"),"",IF(BOM!W257="","",BOM!W257))</f>
        <v/>
      </c>
    </row>
    <row r="252" customFormat="false" ht="15" hidden="false" customHeight="false" outlineLevel="0" collapsed="false">
      <c r="A252" s="5" t="str">
        <f aca="false">IF(OR(BOM!$D258="",BOM!$R258="Cancelled"),"",IF(BOM!A258="","",BOM!A258))</f>
        <v/>
      </c>
      <c r="B252" s="5" t="str">
        <f aca="false">IF(OR(BOM!$D258="",BOM!$R258="Cancelled"),"",IF(BOM!B258="","",BOM!B258))</f>
        <v/>
      </c>
      <c r="C252" s="5" t="str">
        <f aca="false">IF(OR(BOM!$D258="",BOM!$R258="Cancelled"),"",IF(BOM!C258="","",BOM!C258))</f>
        <v/>
      </c>
      <c r="D252" s="5" t="str">
        <f aca="false">IF(OR(BOM!$D258="",BOM!$R258="Cancelled"),"",IF(BOM!D258="","",BOM!D258))</f>
        <v/>
      </c>
      <c r="E252" s="5" t="str">
        <f aca="false">IF(OR(BOM!$D258="",BOM!$R258="Cancelled"),"",IF(BOM!E258="","",BOM!E258))</f>
        <v/>
      </c>
      <c r="F252" s="5" t="str">
        <f aca="false">IF(OR(BOM!$D258="",BOM!$R258="Cancelled"),"",IF(BOM!F258="","",BOM!F258))</f>
        <v/>
      </c>
      <c r="G252" s="5" t="str">
        <f aca="false">IF(OR(BOM!$D258="",BOM!$R258="Cancelled"),"",IF(BOM!J258="","",BOM!J258))</f>
        <v/>
      </c>
      <c r="H252" s="5" t="str">
        <f aca="false">IF(OR(BOM!$D258="",BOM!$R258="Cancelled"),"",IF(BOM!K258="","",BOM!K258))</f>
        <v/>
      </c>
      <c r="I252" s="5" t="str">
        <f aca="false">IF(OR(BOM!$D258="",BOM!$R258="Cancelled"),"",IF(BOM!M258="","",BOM!M258))</f>
        <v/>
      </c>
      <c r="J252" s="5" t="str">
        <f aca="false">IF(OR(BOM!$D258="",BOM!$R258="Cancelled"),"",IF(OR(BOM!R258="Received",BOM!R258="NSW Purchased"),"Received",IF(BOM!R258="Purchased – Not Received","Ordered",IF(BOM!R258="Finalized – Not Purchased","Design Released","In Design"))))</f>
        <v/>
      </c>
      <c r="K252" s="52" t="str">
        <f aca="false">IF(OR(BOM!$D258="",BOM!$R258="Cancelled"),"",IF(BOM!W258="","",BOM!W258))</f>
        <v/>
      </c>
    </row>
    <row r="253" customFormat="false" ht="15" hidden="false" customHeight="false" outlineLevel="0" collapsed="false">
      <c r="A253" s="5" t="str">
        <f aca="false">IF(OR(BOM!$D259="",BOM!$R259="Cancelled"),"",IF(BOM!A259="","",BOM!A259))</f>
        <v/>
      </c>
      <c r="B253" s="5" t="str">
        <f aca="false">IF(OR(BOM!$D259="",BOM!$R259="Cancelled"),"",IF(BOM!B259="","",BOM!B259))</f>
        <v/>
      </c>
      <c r="C253" s="5" t="str">
        <f aca="false">IF(OR(BOM!$D259="",BOM!$R259="Cancelled"),"",IF(BOM!C259="","",BOM!C259))</f>
        <v/>
      </c>
      <c r="D253" s="5" t="str">
        <f aca="false">IF(OR(BOM!$D259="",BOM!$R259="Cancelled"),"",IF(BOM!D259="","",BOM!D259))</f>
        <v/>
      </c>
      <c r="E253" s="5" t="str">
        <f aca="false">IF(OR(BOM!$D259="",BOM!$R259="Cancelled"),"",IF(BOM!E259="","",BOM!E259))</f>
        <v/>
      </c>
      <c r="F253" s="5" t="str">
        <f aca="false">IF(OR(BOM!$D259="",BOM!$R259="Cancelled"),"",IF(BOM!F259="","",BOM!F259))</f>
        <v/>
      </c>
      <c r="G253" s="5" t="str">
        <f aca="false">IF(OR(BOM!$D259="",BOM!$R259="Cancelled"),"",IF(BOM!J259="","",BOM!J259))</f>
        <v/>
      </c>
      <c r="H253" s="5" t="str">
        <f aca="false">IF(OR(BOM!$D259="",BOM!$R259="Cancelled"),"",IF(BOM!K259="","",BOM!K259))</f>
        <v/>
      </c>
      <c r="I253" s="5" t="str">
        <f aca="false">IF(OR(BOM!$D259="",BOM!$R259="Cancelled"),"",IF(BOM!M259="","",BOM!M259))</f>
        <v/>
      </c>
      <c r="J253" s="5" t="str">
        <f aca="false">IF(OR(BOM!$D259="",BOM!$R259="Cancelled"),"",IF(OR(BOM!R259="Received",BOM!R259="NSW Purchased"),"Received",IF(BOM!R259="Purchased – Not Received","Ordered",IF(BOM!R259="Finalized – Not Purchased","Design Released","In Design"))))</f>
        <v/>
      </c>
      <c r="K253" s="52" t="str">
        <f aca="false">IF(OR(BOM!$D259="",BOM!$R259="Cancelled"),"",IF(BOM!W259="","",BOM!W259))</f>
        <v/>
      </c>
    </row>
    <row r="254" customFormat="false" ht="15" hidden="false" customHeight="false" outlineLevel="0" collapsed="false">
      <c r="A254" s="5" t="str">
        <f aca="false">IF(OR(BOM!$D260="",BOM!$R260="Cancelled"),"",IF(BOM!A260="","",BOM!A260))</f>
        <v/>
      </c>
      <c r="B254" s="5" t="str">
        <f aca="false">IF(OR(BOM!$D260="",BOM!$R260="Cancelled"),"",IF(BOM!B260="","",BOM!B260))</f>
        <v/>
      </c>
      <c r="C254" s="5" t="str">
        <f aca="false">IF(OR(BOM!$D260="",BOM!$R260="Cancelled"),"",IF(BOM!C260="","",BOM!C260))</f>
        <v/>
      </c>
      <c r="D254" s="5" t="str">
        <f aca="false">IF(OR(BOM!$D260="",BOM!$R260="Cancelled"),"",IF(BOM!D260="","",BOM!D260))</f>
        <v/>
      </c>
      <c r="E254" s="5" t="str">
        <f aca="false">IF(OR(BOM!$D260="",BOM!$R260="Cancelled"),"",IF(BOM!E260="","",BOM!E260))</f>
        <v/>
      </c>
      <c r="F254" s="5" t="str">
        <f aca="false">IF(OR(BOM!$D260="",BOM!$R260="Cancelled"),"",IF(BOM!F260="","",BOM!F260))</f>
        <v/>
      </c>
      <c r="G254" s="5" t="str">
        <f aca="false">IF(OR(BOM!$D260="",BOM!$R260="Cancelled"),"",IF(BOM!J260="","",BOM!J260))</f>
        <v/>
      </c>
      <c r="H254" s="5" t="str">
        <f aca="false">IF(OR(BOM!$D260="",BOM!$R260="Cancelled"),"",IF(BOM!K260="","",BOM!K260))</f>
        <v/>
      </c>
      <c r="I254" s="5" t="str">
        <f aca="false">IF(OR(BOM!$D260="",BOM!$R260="Cancelled"),"",IF(BOM!M260="","",BOM!M260))</f>
        <v/>
      </c>
      <c r="J254" s="5" t="str">
        <f aca="false">IF(OR(BOM!$D260="",BOM!$R260="Cancelled"),"",IF(OR(BOM!R260="Received",BOM!R260="NSW Purchased"),"Received",IF(BOM!R260="Purchased – Not Received","Ordered",IF(BOM!R260="Finalized – Not Purchased","Design Released","In Design"))))</f>
        <v/>
      </c>
      <c r="K254" s="52" t="str">
        <f aca="false">IF(OR(BOM!$D260="",BOM!$R260="Cancelled"),"",IF(BOM!W260="","",BOM!W260))</f>
        <v/>
      </c>
    </row>
    <row r="255" customFormat="false" ht="15" hidden="false" customHeight="false" outlineLevel="0" collapsed="false">
      <c r="A255" s="5" t="str">
        <f aca="false">IF(OR(BOM!$D261="",BOM!$R261="Cancelled"),"",IF(BOM!A261="","",BOM!A261))</f>
        <v/>
      </c>
      <c r="B255" s="5" t="str">
        <f aca="false">IF(OR(BOM!$D261="",BOM!$R261="Cancelled"),"",IF(BOM!B261="","",BOM!B261))</f>
        <v/>
      </c>
      <c r="C255" s="5" t="str">
        <f aca="false">IF(OR(BOM!$D261="",BOM!$R261="Cancelled"),"",IF(BOM!C261="","",BOM!C261))</f>
        <v/>
      </c>
      <c r="D255" s="5" t="str">
        <f aca="false">IF(OR(BOM!$D261="",BOM!$R261="Cancelled"),"",IF(BOM!D261="","",BOM!D261))</f>
        <v/>
      </c>
      <c r="E255" s="5" t="str">
        <f aca="false">IF(OR(BOM!$D261="",BOM!$R261="Cancelled"),"",IF(BOM!E261="","",BOM!E261))</f>
        <v/>
      </c>
      <c r="F255" s="5" t="str">
        <f aca="false">IF(OR(BOM!$D261="",BOM!$R261="Cancelled"),"",IF(BOM!F261="","",BOM!F261))</f>
        <v/>
      </c>
      <c r="G255" s="5" t="str">
        <f aca="false">IF(OR(BOM!$D261="",BOM!$R261="Cancelled"),"",IF(BOM!J261="","",BOM!J261))</f>
        <v/>
      </c>
      <c r="H255" s="5" t="str">
        <f aca="false">IF(OR(BOM!$D261="",BOM!$R261="Cancelled"),"",IF(BOM!K261="","",BOM!K261))</f>
        <v/>
      </c>
      <c r="I255" s="5" t="str">
        <f aca="false">IF(OR(BOM!$D261="",BOM!$R261="Cancelled"),"",IF(BOM!M261="","",BOM!M261))</f>
        <v/>
      </c>
      <c r="J255" s="5" t="str">
        <f aca="false">IF(OR(BOM!$D261="",BOM!$R261="Cancelled"),"",IF(OR(BOM!R261="Received",BOM!R261="NSW Purchased"),"Received",IF(BOM!R261="Purchased – Not Received","Ordered",IF(BOM!R261="Finalized – Not Purchased","Design Released","In Design"))))</f>
        <v/>
      </c>
      <c r="K255" s="52" t="str">
        <f aca="false">IF(OR(BOM!$D261="",BOM!$R261="Cancelled"),"",IF(BOM!W261="","",BOM!W261))</f>
        <v/>
      </c>
    </row>
    <row r="256" customFormat="false" ht="15" hidden="false" customHeight="false" outlineLevel="0" collapsed="false">
      <c r="A256" s="5" t="str">
        <f aca="false">IF(OR(BOM!$D262="",BOM!$R262="Cancelled"),"",IF(BOM!A262="","",BOM!A262))</f>
        <v/>
      </c>
      <c r="B256" s="5" t="str">
        <f aca="false">IF(OR(BOM!$D262="",BOM!$R262="Cancelled"),"",IF(BOM!B262="","",BOM!B262))</f>
        <v/>
      </c>
      <c r="C256" s="5" t="str">
        <f aca="false">IF(OR(BOM!$D262="",BOM!$R262="Cancelled"),"",IF(BOM!C262="","",BOM!C262))</f>
        <v/>
      </c>
      <c r="D256" s="5" t="str">
        <f aca="false">IF(OR(BOM!$D262="",BOM!$R262="Cancelled"),"",IF(BOM!D262="","",BOM!D262))</f>
        <v/>
      </c>
      <c r="E256" s="5" t="str">
        <f aca="false">IF(OR(BOM!$D262="",BOM!$R262="Cancelled"),"",IF(BOM!E262="","",BOM!E262))</f>
        <v/>
      </c>
      <c r="F256" s="5" t="str">
        <f aca="false">IF(OR(BOM!$D262="",BOM!$R262="Cancelled"),"",IF(BOM!F262="","",BOM!F262))</f>
        <v/>
      </c>
      <c r="G256" s="5" t="str">
        <f aca="false">IF(OR(BOM!$D262="",BOM!$R262="Cancelled"),"",IF(BOM!J262="","",BOM!J262))</f>
        <v/>
      </c>
      <c r="H256" s="5" t="str">
        <f aca="false">IF(OR(BOM!$D262="",BOM!$R262="Cancelled"),"",IF(BOM!K262="","",BOM!K262))</f>
        <v/>
      </c>
      <c r="I256" s="5" t="str">
        <f aca="false">IF(OR(BOM!$D262="",BOM!$R262="Cancelled"),"",IF(BOM!M262="","",BOM!M262))</f>
        <v/>
      </c>
      <c r="J256" s="5" t="str">
        <f aca="false">IF(OR(BOM!$D262="",BOM!$R262="Cancelled"),"",IF(OR(BOM!R262="Received",BOM!R262="NSW Purchased"),"Received",IF(BOM!R262="Purchased – Not Received","Ordered",IF(BOM!R262="Finalized – Not Purchased","Design Released","In Design"))))</f>
        <v/>
      </c>
      <c r="K256" s="52" t="str">
        <f aca="false">IF(OR(BOM!$D262="",BOM!$R262="Cancelled"),"",IF(BOM!W262="","",BOM!W262))</f>
        <v/>
      </c>
    </row>
    <row r="257" customFormat="false" ht="15" hidden="false" customHeight="false" outlineLevel="0" collapsed="false">
      <c r="A257" s="5" t="str">
        <f aca="false">IF(OR(BOM!$D263="",BOM!$R263="Cancelled"),"",IF(BOM!A263="","",BOM!A263))</f>
        <v/>
      </c>
      <c r="B257" s="5" t="str">
        <f aca="false">IF(OR(BOM!$D263="",BOM!$R263="Cancelled"),"",IF(BOM!B263="","",BOM!B263))</f>
        <v/>
      </c>
      <c r="C257" s="5" t="str">
        <f aca="false">IF(OR(BOM!$D263="",BOM!$R263="Cancelled"),"",IF(BOM!C263="","",BOM!C263))</f>
        <v/>
      </c>
      <c r="D257" s="5" t="str">
        <f aca="false">IF(OR(BOM!$D263="",BOM!$R263="Cancelled"),"",IF(BOM!D263="","",BOM!D263))</f>
        <v/>
      </c>
      <c r="E257" s="5" t="str">
        <f aca="false">IF(OR(BOM!$D263="",BOM!$R263="Cancelled"),"",IF(BOM!E263="","",BOM!E263))</f>
        <v/>
      </c>
      <c r="F257" s="5" t="str">
        <f aca="false">IF(OR(BOM!$D263="",BOM!$R263="Cancelled"),"",IF(BOM!F263="","",BOM!F263))</f>
        <v/>
      </c>
      <c r="G257" s="5" t="str">
        <f aca="false">IF(OR(BOM!$D263="",BOM!$R263="Cancelled"),"",IF(BOM!J263="","",BOM!J263))</f>
        <v/>
      </c>
      <c r="H257" s="5" t="str">
        <f aca="false">IF(OR(BOM!$D263="",BOM!$R263="Cancelled"),"",IF(BOM!K263="","",BOM!K263))</f>
        <v/>
      </c>
      <c r="I257" s="5" t="str">
        <f aca="false">IF(OR(BOM!$D263="",BOM!$R263="Cancelled"),"",IF(BOM!M263="","",BOM!M263))</f>
        <v/>
      </c>
      <c r="J257" s="5" t="str">
        <f aca="false">IF(OR(BOM!$D263="",BOM!$R263="Cancelled"),"",IF(OR(BOM!R263="Received",BOM!R263="NSW Purchased"),"Received",IF(BOM!R263="Purchased – Not Received","Ordered",IF(BOM!R263="Finalized – Not Purchased","Design Released","In Design"))))</f>
        <v/>
      </c>
      <c r="K257" s="52" t="str">
        <f aca="false">IF(OR(BOM!$D263="",BOM!$R263="Cancelled"),"",IF(BOM!W263="","",BOM!W263))</f>
        <v/>
      </c>
    </row>
    <row r="258" customFormat="false" ht="15" hidden="false" customHeight="false" outlineLevel="0" collapsed="false">
      <c r="A258" s="5" t="str">
        <f aca="false">IF(OR(BOM!$D264="",BOM!$R264="Cancelled"),"",IF(BOM!A264="","",BOM!A264))</f>
        <v/>
      </c>
      <c r="B258" s="5" t="str">
        <f aca="false">IF(OR(BOM!$D264="",BOM!$R264="Cancelled"),"",IF(BOM!B264="","",BOM!B264))</f>
        <v/>
      </c>
      <c r="C258" s="5" t="str">
        <f aca="false">IF(OR(BOM!$D264="",BOM!$R264="Cancelled"),"",IF(BOM!C264="","",BOM!C264))</f>
        <v/>
      </c>
      <c r="D258" s="5" t="str">
        <f aca="false">IF(OR(BOM!$D264="",BOM!$R264="Cancelled"),"",IF(BOM!D264="","",BOM!D264))</f>
        <v/>
      </c>
      <c r="E258" s="5" t="str">
        <f aca="false">IF(OR(BOM!$D264="",BOM!$R264="Cancelled"),"",IF(BOM!E264="","",BOM!E264))</f>
        <v/>
      </c>
      <c r="F258" s="5" t="str">
        <f aca="false">IF(OR(BOM!$D264="",BOM!$R264="Cancelled"),"",IF(BOM!F264="","",BOM!F264))</f>
        <v/>
      </c>
      <c r="G258" s="5" t="str">
        <f aca="false">IF(OR(BOM!$D264="",BOM!$R264="Cancelled"),"",IF(BOM!J264="","",BOM!J264))</f>
        <v/>
      </c>
      <c r="H258" s="5" t="str">
        <f aca="false">IF(OR(BOM!$D264="",BOM!$R264="Cancelled"),"",IF(BOM!K264="","",BOM!K264))</f>
        <v/>
      </c>
      <c r="I258" s="5" t="str">
        <f aca="false">IF(OR(BOM!$D264="",BOM!$R264="Cancelled"),"",IF(BOM!M264="","",BOM!M264))</f>
        <v/>
      </c>
      <c r="J258" s="5" t="str">
        <f aca="false">IF(OR(BOM!$D264="",BOM!$R264="Cancelled"),"",IF(OR(BOM!R264="Received",BOM!R264="NSW Purchased"),"Received",IF(BOM!R264="Purchased – Not Received","Ordered",IF(BOM!R264="Finalized – Not Purchased","Design Released","In Design"))))</f>
        <v/>
      </c>
      <c r="K258" s="52" t="str">
        <f aca="false">IF(OR(BOM!$D264="",BOM!$R264="Cancelled"),"",IF(BOM!W264="","",BOM!W264))</f>
        <v/>
      </c>
    </row>
    <row r="259" customFormat="false" ht="15" hidden="false" customHeight="false" outlineLevel="0" collapsed="false">
      <c r="A259" s="5" t="str">
        <f aca="false">IF(OR(BOM!$D265="",BOM!$R265="Cancelled"),"",IF(BOM!A265="","",BOM!A265))</f>
        <v/>
      </c>
      <c r="B259" s="5" t="str">
        <f aca="false">IF(OR(BOM!$D265="",BOM!$R265="Cancelled"),"",IF(BOM!B265="","",BOM!B265))</f>
        <v/>
      </c>
      <c r="C259" s="5" t="str">
        <f aca="false">IF(OR(BOM!$D265="",BOM!$R265="Cancelled"),"",IF(BOM!C265="","",BOM!C265))</f>
        <v/>
      </c>
      <c r="D259" s="5" t="str">
        <f aca="false">IF(OR(BOM!$D265="",BOM!$R265="Cancelled"),"",IF(BOM!D265="","",BOM!D265))</f>
        <v/>
      </c>
      <c r="E259" s="5" t="str">
        <f aca="false">IF(OR(BOM!$D265="",BOM!$R265="Cancelled"),"",IF(BOM!E265="","",BOM!E265))</f>
        <v/>
      </c>
      <c r="F259" s="5" t="str">
        <f aca="false">IF(OR(BOM!$D265="",BOM!$R265="Cancelled"),"",IF(BOM!F265="","",BOM!F265))</f>
        <v/>
      </c>
      <c r="G259" s="5" t="str">
        <f aca="false">IF(OR(BOM!$D265="",BOM!$R265="Cancelled"),"",IF(BOM!J265="","",BOM!J265))</f>
        <v/>
      </c>
      <c r="H259" s="5" t="str">
        <f aca="false">IF(OR(BOM!$D265="",BOM!$R265="Cancelled"),"",IF(BOM!K265="","",BOM!K265))</f>
        <v/>
      </c>
      <c r="I259" s="5" t="str">
        <f aca="false">IF(OR(BOM!$D265="",BOM!$R265="Cancelled"),"",IF(BOM!M265="","",BOM!M265))</f>
        <v/>
      </c>
      <c r="J259" s="5" t="str">
        <f aca="false">IF(OR(BOM!$D265="",BOM!$R265="Cancelled"),"",IF(OR(BOM!R265="Received",BOM!R265="NSW Purchased"),"Received",IF(BOM!R265="Purchased – Not Received","Ordered",IF(BOM!R265="Finalized – Not Purchased","Design Released","In Design"))))</f>
        <v/>
      </c>
      <c r="K259" s="52" t="str">
        <f aca="false">IF(OR(BOM!$D265="",BOM!$R265="Cancelled"),"",IF(BOM!W265="","",BOM!W265))</f>
        <v/>
      </c>
    </row>
    <row r="260" customFormat="false" ht="15" hidden="false" customHeight="false" outlineLevel="0" collapsed="false">
      <c r="A260" s="5" t="str">
        <f aca="false">IF(OR(BOM!$D266="",BOM!$R266="Cancelled"),"",IF(BOM!A266="","",BOM!A266))</f>
        <v/>
      </c>
      <c r="B260" s="5" t="str">
        <f aca="false">IF(OR(BOM!$D266="",BOM!$R266="Cancelled"),"",IF(BOM!B266="","",BOM!B266))</f>
        <v/>
      </c>
      <c r="C260" s="5" t="str">
        <f aca="false">IF(OR(BOM!$D266="",BOM!$R266="Cancelled"),"",IF(BOM!C266="","",BOM!C266))</f>
        <v/>
      </c>
      <c r="D260" s="5" t="str">
        <f aca="false">IF(OR(BOM!$D266="",BOM!$R266="Cancelled"),"",IF(BOM!D266="","",BOM!D266))</f>
        <v/>
      </c>
      <c r="E260" s="5" t="str">
        <f aca="false">IF(OR(BOM!$D266="",BOM!$R266="Cancelled"),"",IF(BOM!E266="","",BOM!E266))</f>
        <v/>
      </c>
      <c r="F260" s="5" t="str">
        <f aca="false">IF(OR(BOM!$D266="",BOM!$R266="Cancelled"),"",IF(BOM!F266="","",BOM!F266))</f>
        <v/>
      </c>
      <c r="G260" s="5" t="str">
        <f aca="false">IF(OR(BOM!$D266="",BOM!$R266="Cancelled"),"",IF(BOM!J266="","",BOM!J266))</f>
        <v/>
      </c>
      <c r="H260" s="5" t="str">
        <f aca="false">IF(OR(BOM!$D266="",BOM!$R266="Cancelled"),"",IF(BOM!K266="","",BOM!K266))</f>
        <v/>
      </c>
      <c r="I260" s="5" t="str">
        <f aca="false">IF(OR(BOM!$D266="",BOM!$R266="Cancelled"),"",IF(BOM!M266="","",BOM!M266))</f>
        <v/>
      </c>
      <c r="J260" s="5" t="str">
        <f aca="false">IF(OR(BOM!$D266="",BOM!$R266="Cancelled"),"",IF(OR(BOM!R266="Received",BOM!R266="NSW Purchased"),"Received",IF(BOM!R266="Purchased – Not Received","Ordered",IF(BOM!R266="Finalized – Not Purchased","Design Released","In Design"))))</f>
        <v/>
      </c>
      <c r="K260" s="52" t="str">
        <f aca="false">IF(OR(BOM!$D266="",BOM!$R266="Cancelled"),"",IF(BOM!W266="","",BOM!W266))</f>
        <v/>
      </c>
    </row>
    <row r="261" customFormat="false" ht="15" hidden="false" customHeight="false" outlineLevel="0" collapsed="false">
      <c r="A261" s="5" t="str">
        <f aca="false">IF(OR(BOM!$D267="",BOM!$R267="Cancelled"),"",IF(BOM!A267="","",BOM!A267))</f>
        <v/>
      </c>
      <c r="B261" s="5" t="str">
        <f aca="false">IF(OR(BOM!$D267="",BOM!$R267="Cancelled"),"",IF(BOM!B267="","",BOM!B267))</f>
        <v/>
      </c>
      <c r="C261" s="5" t="str">
        <f aca="false">IF(OR(BOM!$D267="",BOM!$R267="Cancelled"),"",IF(BOM!C267="","",BOM!C267))</f>
        <v/>
      </c>
      <c r="D261" s="5" t="str">
        <f aca="false">IF(OR(BOM!$D267="",BOM!$R267="Cancelled"),"",IF(BOM!D267="","",BOM!D267))</f>
        <v/>
      </c>
      <c r="E261" s="5" t="str">
        <f aca="false">IF(OR(BOM!$D267="",BOM!$R267="Cancelled"),"",IF(BOM!E267="","",BOM!E267))</f>
        <v/>
      </c>
      <c r="F261" s="5" t="str">
        <f aca="false">IF(OR(BOM!$D267="",BOM!$R267="Cancelled"),"",IF(BOM!F267="","",BOM!F267))</f>
        <v/>
      </c>
      <c r="G261" s="5" t="str">
        <f aca="false">IF(OR(BOM!$D267="",BOM!$R267="Cancelled"),"",IF(BOM!J267="","",BOM!J267))</f>
        <v/>
      </c>
      <c r="H261" s="5" t="str">
        <f aca="false">IF(OR(BOM!$D267="",BOM!$R267="Cancelled"),"",IF(BOM!K267="","",BOM!K267))</f>
        <v/>
      </c>
      <c r="I261" s="5" t="str">
        <f aca="false">IF(OR(BOM!$D267="",BOM!$R267="Cancelled"),"",IF(BOM!M267="","",BOM!M267))</f>
        <v/>
      </c>
      <c r="J261" s="5" t="str">
        <f aca="false">IF(OR(BOM!$D267="",BOM!$R267="Cancelled"),"",IF(OR(BOM!R267="Received",BOM!R267="NSW Purchased"),"Received",IF(BOM!R267="Purchased – Not Received","Ordered",IF(BOM!R267="Finalized – Not Purchased","Design Released","In Design"))))</f>
        <v/>
      </c>
      <c r="K261" s="52" t="str">
        <f aca="false">IF(OR(BOM!$D267="",BOM!$R267="Cancelled"),"",IF(BOM!W267="","",BOM!W267))</f>
        <v/>
      </c>
    </row>
    <row r="262" customFormat="false" ht="15" hidden="false" customHeight="false" outlineLevel="0" collapsed="false">
      <c r="A262" s="5" t="str">
        <f aca="false">IF(OR(BOM!$D268="",BOM!$R268="Cancelled"),"",IF(BOM!A268="","",BOM!A268))</f>
        <v/>
      </c>
      <c r="B262" s="5" t="str">
        <f aca="false">IF(OR(BOM!$D268="",BOM!$R268="Cancelled"),"",IF(BOM!B268="","",BOM!B268))</f>
        <v/>
      </c>
      <c r="C262" s="5" t="str">
        <f aca="false">IF(OR(BOM!$D268="",BOM!$R268="Cancelled"),"",IF(BOM!C268="","",BOM!C268))</f>
        <v/>
      </c>
      <c r="D262" s="5" t="str">
        <f aca="false">IF(OR(BOM!$D268="",BOM!$R268="Cancelled"),"",IF(BOM!D268="","",BOM!D268))</f>
        <v/>
      </c>
      <c r="E262" s="5" t="str">
        <f aca="false">IF(OR(BOM!$D268="",BOM!$R268="Cancelled"),"",IF(BOM!E268="","",BOM!E268))</f>
        <v/>
      </c>
      <c r="F262" s="5" t="str">
        <f aca="false">IF(OR(BOM!$D268="",BOM!$R268="Cancelled"),"",IF(BOM!F268="","",BOM!F268))</f>
        <v/>
      </c>
      <c r="G262" s="5" t="str">
        <f aca="false">IF(OR(BOM!$D268="",BOM!$R268="Cancelled"),"",IF(BOM!J268="","",BOM!J268))</f>
        <v/>
      </c>
      <c r="H262" s="5" t="str">
        <f aca="false">IF(OR(BOM!$D268="",BOM!$R268="Cancelled"),"",IF(BOM!K268="","",BOM!K268))</f>
        <v/>
      </c>
      <c r="I262" s="5" t="str">
        <f aca="false">IF(OR(BOM!$D268="",BOM!$R268="Cancelled"),"",IF(BOM!M268="","",BOM!M268))</f>
        <v/>
      </c>
      <c r="J262" s="5" t="str">
        <f aca="false">IF(OR(BOM!$D268="",BOM!$R268="Cancelled"),"",IF(OR(BOM!R268="Received",BOM!R268="NSW Purchased"),"Received",IF(BOM!R268="Purchased – Not Received","Ordered",IF(BOM!R268="Finalized – Not Purchased","Design Released","In Design"))))</f>
        <v/>
      </c>
      <c r="K262" s="52" t="str">
        <f aca="false">IF(OR(BOM!$D268="",BOM!$R268="Cancelled"),"",IF(BOM!W268="","",BOM!W268))</f>
        <v/>
      </c>
    </row>
    <row r="263" customFormat="false" ht="15" hidden="false" customHeight="false" outlineLevel="0" collapsed="false">
      <c r="A263" s="5" t="str">
        <f aca="false">IF(OR(BOM!$D269="",BOM!$R269="Cancelled"),"",IF(BOM!A269="","",BOM!A269))</f>
        <v/>
      </c>
      <c r="B263" s="5" t="str">
        <f aca="false">IF(OR(BOM!$D269="",BOM!$R269="Cancelled"),"",IF(BOM!B269="","",BOM!B269))</f>
        <v/>
      </c>
      <c r="C263" s="5" t="str">
        <f aca="false">IF(OR(BOM!$D269="",BOM!$R269="Cancelled"),"",IF(BOM!C269="","",BOM!C269))</f>
        <v/>
      </c>
      <c r="D263" s="5" t="str">
        <f aca="false">IF(OR(BOM!$D269="",BOM!$R269="Cancelled"),"",IF(BOM!D269="","",BOM!D269))</f>
        <v/>
      </c>
      <c r="E263" s="5" t="str">
        <f aca="false">IF(OR(BOM!$D269="",BOM!$R269="Cancelled"),"",IF(BOM!E269="","",BOM!E269))</f>
        <v/>
      </c>
      <c r="F263" s="5" t="str">
        <f aca="false">IF(OR(BOM!$D269="",BOM!$R269="Cancelled"),"",IF(BOM!F269="","",BOM!F269))</f>
        <v/>
      </c>
      <c r="G263" s="5" t="str">
        <f aca="false">IF(OR(BOM!$D269="",BOM!$R269="Cancelled"),"",IF(BOM!J269="","",BOM!J269))</f>
        <v/>
      </c>
      <c r="H263" s="5" t="str">
        <f aca="false">IF(OR(BOM!$D269="",BOM!$R269="Cancelled"),"",IF(BOM!K269="","",BOM!K269))</f>
        <v/>
      </c>
      <c r="I263" s="5" t="str">
        <f aca="false">IF(OR(BOM!$D269="",BOM!$R269="Cancelled"),"",IF(BOM!M269="","",BOM!M269))</f>
        <v/>
      </c>
      <c r="J263" s="5" t="str">
        <f aca="false">IF(OR(BOM!$D269="",BOM!$R269="Cancelled"),"",IF(OR(BOM!R269="Received",BOM!R269="NSW Purchased"),"Received",IF(BOM!R269="Purchased – Not Received","Ordered",IF(BOM!R269="Finalized – Not Purchased","Design Released","In Design"))))</f>
        <v/>
      </c>
      <c r="K263" s="52" t="str">
        <f aca="false">IF(OR(BOM!$D269="",BOM!$R269="Cancelled"),"",IF(BOM!W269="","",BOM!W269))</f>
        <v/>
      </c>
    </row>
    <row r="264" customFormat="false" ht="15" hidden="false" customHeight="false" outlineLevel="0" collapsed="false">
      <c r="A264" s="5" t="str">
        <f aca="false">IF(OR(BOM!$D270="",BOM!$R270="Cancelled"),"",IF(BOM!A270="","",BOM!A270))</f>
        <v/>
      </c>
      <c r="B264" s="5" t="str">
        <f aca="false">IF(OR(BOM!$D270="",BOM!$R270="Cancelled"),"",IF(BOM!B270="","",BOM!B270))</f>
        <v/>
      </c>
      <c r="C264" s="5" t="str">
        <f aca="false">IF(OR(BOM!$D270="",BOM!$R270="Cancelled"),"",IF(BOM!C270="","",BOM!C270))</f>
        <v/>
      </c>
      <c r="D264" s="5" t="str">
        <f aca="false">IF(OR(BOM!$D270="",BOM!$R270="Cancelled"),"",IF(BOM!D270="","",BOM!D270))</f>
        <v/>
      </c>
      <c r="E264" s="5" t="str">
        <f aca="false">IF(OR(BOM!$D270="",BOM!$R270="Cancelled"),"",IF(BOM!E270="","",BOM!E270))</f>
        <v/>
      </c>
      <c r="F264" s="5" t="str">
        <f aca="false">IF(OR(BOM!$D270="",BOM!$R270="Cancelled"),"",IF(BOM!F270="","",BOM!F270))</f>
        <v/>
      </c>
      <c r="G264" s="5" t="str">
        <f aca="false">IF(OR(BOM!$D270="",BOM!$R270="Cancelled"),"",IF(BOM!J270="","",BOM!J270))</f>
        <v/>
      </c>
      <c r="H264" s="5" t="str">
        <f aca="false">IF(OR(BOM!$D270="",BOM!$R270="Cancelled"),"",IF(BOM!K270="","",BOM!K270))</f>
        <v/>
      </c>
      <c r="I264" s="5" t="str">
        <f aca="false">IF(OR(BOM!$D270="",BOM!$R270="Cancelled"),"",IF(BOM!M270="","",BOM!M270))</f>
        <v/>
      </c>
      <c r="J264" s="5" t="str">
        <f aca="false">IF(OR(BOM!$D270="",BOM!$R270="Cancelled"),"",IF(OR(BOM!R270="Received",BOM!R270="NSW Purchased"),"Received",IF(BOM!R270="Purchased – Not Received","Ordered",IF(BOM!R270="Finalized – Not Purchased","Design Released","In Design"))))</f>
        <v/>
      </c>
      <c r="K264" s="52" t="str">
        <f aca="false">IF(OR(BOM!$D270="",BOM!$R270="Cancelled"),"",IF(BOM!W270="","",BOM!W270))</f>
        <v/>
      </c>
    </row>
    <row r="265" customFormat="false" ht="15" hidden="false" customHeight="false" outlineLevel="0" collapsed="false">
      <c r="A265" s="5" t="str">
        <f aca="false">IF(OR(BOM!$D271="",BOM!$R271="Cancelled"),"",IF(BOM!A271="","",BOM!A271))</f>
        <v/>
      </c>
      <c r="B265" s="5" t="str">
        <f aca="false">IF(OR(BOM!$D271="",BOM!$R271="Cancelled"),"",IF(BOM!B271="","",BOM!B271))</f>
        <v/>
      </c>
      <c r="C265" s="5" t="str">
        <f aca="false">IF(OR(BOM!$D271="",BOM!$R271="Cancelled"),"",IF(BOM!C271="","",BOM!C271))</f>
        <v/>
      </c>
      <c r="D265" s="5" t="str">
        <f aca="false">IF(OR(BOM!$D271="",BOM!$R271="Cancelled"),"",IF(BOM!D271="","",BOM!D271))</f>
        <v/>
      </c>
      <c r="E265" s="5" t="str">
        <f aca="false">IF(OR(BOM!$D271="",BOM!$R271="Cancelled"),"",IF(BOM!E271="","",BOM!E271))</f>
        <v/>
      </c>
      <c r="F265" s="5" t="str">
        <f aca="false">IF(OR(BOM!$D271="",BOM!$R271="Cancelled"),"",IF(BOM!F271="","",BOM!F271))</f>
        <v/>
      </c>
      <c r="G265" s="5" t="str">
        <f aca="false">IF(OR(BOM!$D271="",BOM!$R271="Cancelled"),"",IF(BOM!J271="","",BOM!J271))</f>
        <v/>
      </c>
      <c r="H265" s="5" t="str">
        <f aca="false">IF(OR(BOM!$D271="",BOM!$R271="Cancelled"),"",IF(BOM!K271="","",BOM!K271))</f>
        <v/>
      </c>
      <c r="I265" s="5" t="str">
        <f aca="false">IF(OR(BOM!$D271="",BOM!$R271="Cancelled"),"",IF(BOM!M271="","",BOM!M271))</f>
        <v/>
      </c>
      <c r="J265" s="5" t="str">
        <f aca="false">IF(OR(BOM!$D271="",BOM!$R271="Cancelled"),"",IF(OR(BOM!R271="Received",BOM!R271="NSW Purchased"),"Received",IF(BOM!R271="Purchased – Not Received","Ordered",IF(BOM!R271="Finalized – Not Purchased","Design Released","In Design"))))</f>
        <v/>
      </c>
      <c r="K265" s="52" t="str">
        <f aca="false">IF(OR(BOM!$D271="",BOM!$R271="Cancelled"),"",IF(BOM!W271="","",BOM!W271))</f>
        <v/>
      </c>
    </row>
    <row r="266" customFormat="false" ht="15" hidden="false" customHeight="false" outlineLevel="0" collapsed="false">
      <c r="A266" s="5" t="str">
        <f aca="false">IF(OR(BOM!$D272="",BOM!$R272="Cancelled"),"",IF(BOM!A272="","",BOM!A272))</f>
        <v/>
      </c>
      <c r="B266" s="5" t="str">
        <f aca="false">IF(OR(BOM!$D272="",BOM!$R272="Cancelled"),"",IF(BOM!B272="","",BOM!B272))</f>
        <v/>
      </c>
      <c r="C266" s="5" t="str">
        <f aca="false">IF(OR(BOM!$D272="",BOM!$R272="Cancelled"),"",IF(BOM!C272="","",BOM!C272))</f>
        <v/>
      </c>
      <c r="D266" s="5" t="str">
        <f aca="false">IF(OR(BOM!$D272="",BOM!$R272="Cancelled"),"",IF(BOM!D272="","",BOM!D272))</f>
        <v/>
      </c>
      <c r="E266" s="5" t="str">
        <f aca="false">IF(OR(BOM!$D272="",BOM!$R272="Cancelled"),"",IF(BOM!E272="","",BOM!E272))</f>
        <v/>
      </c>
      <c r="F266" s="5" t="str">
        <f aca="false">IF(OR(BOM!$D272="",BOM!$R272="Cancelled"),"",IF(BOM!F272="","",BOM!F272))</f>
        <v/>
      </c>
      <c r="G266" s="5" t="str">
        <f aca="false">IF(OR(BOM!$D272="",BOM!$R272="Cancelled"),"",IF(BOM!J272="","",BOM!J272))</f>
        <v/>
      </c>
      <c r="H266" s="5" t="str">
        <f aca="false">IF(OR(BOM!$D272="",BOM!$R272="Cancelled"),"",IF(BOM!K272="","",BOM!K272))</f>
        <v/>
      </c>
      <c r="I266" s="5" t="str">
        <f aca="false">IF(OR(BOM!$D272="",BOM!$R272="Cancelled"),"",IF(BOM!M272="","",BOM!M272))</f>
        <v/>
      </c>
      <c r="J266" s="5" t="str">
        <f aca="false">IF(OR(BOM!$D272="",BOM!$R272="Cancelled"),"",IF(OR(BOM!R272="Received",BOM!R272="NSW Purchased"),"Received",IF(BOM!R272="Purchased – Not Received","Ordered",IF(BOM!R272="Finalized – Not Purchased","Design Released","In Design"))))</f>
        <v/>
      </c>
      <c r="K266" s="52" t="str">
        <f aca="false">IF(OR(BOM!$D272="",BOM!$R272="Cancelled"),"",IF(BOM!W272="","",BOM!W272))</f>
        <v/>
      </c>
    </row>
    <row r="267" customFormat="false" ht="15" hidden="false" customHeight="false" outlineLevel="0" collapsed="false">
      <c r="A267" s="5" t="str">
        <f aca="false">IF(OR(BOM!$D273="",BOM!$R273="Cancelled"),"",IF(BOM!A273="","",BOM!A273))</f>
        <v/>
      </c>
      <c r="B267" s="5" t="str">
        <f aca="false">IF(OR(BOM!$D273="",BOM!$R273="Cancelled"),"",IF(BOM!B273="","",BOM!B273))</f>
        <v/>
      </c>
      <c r="C267" s="5" t="str">
        <f aca="false">IF(OR(BOM!$D273="",BOM!$R273="Cancelled"),"",IF(BOM!C273="","",BOM!C273))</f>
        <v/>
      </c>
      <c r="D267" s="5" t="str">
        <f aca="false">IF(OR(BOM!$D273="",BOM!$R273="Cancelled"),"",IF(BOM!D273="","",BOM!D273))</f>
        <v/>
      </c>
      <c r="E267" s="5" t="str">
        <f aca="false">IF(OR(BOM!$D273="",BOM!$R273="Cancelled"),"",IF(BOM!E273="","",BOM!E273))</f>
        <v/>
      </c>
      <c r="F267" s="5" t="str">
        <f aca="false">IF(OR(BOM!$D273="",BOM!$R273="Cancelled"),"",IF(BOM!F273="","",BOM!F273))</f>
        <v/>
      </c>
      <c r="G267" s="5" t="str">
        <f aca="false">IF(OR(BOM!$D273="",BOM!$R273="Cancelled"),"",IF(BOM!J273="","",BOM!J273))</f>
        <v/>
      </c>
      <c r="H267" s="5" t="str">
        <f aca="false">IF(OR(BOM!$D273="",BOM!$R273="Cancelled"),"",IF(BOM!K273="","",BOM!K273))</f>
        <v/>
      </c>
      <c r="I267" s="5" t="str">
        <f aca="false">IF(OR(BOM!$D273="",BOM!$R273="Cancelled"),"",IF(BOM!M273="","",BOM!M273))</f>
        <v/>
      </c>
      <c r="J267" s="5" t="str">
        <f aca="false">IF(OR(BOM!$D273="",BOM!$R273="Cancelled"),"",IF(OR(BOM!R273="Received",BOM!R273="NSW Purchased"),"Received",IF(BOM!R273="Purchased – Not Received","Ordered",IF(BOM!R273="Finalized – Not Purchased","Design Released","In Design"))))</f>
        <v/>
      </c>
      <c r="K267" s="52" t="str">
        <f aca="false">IF(OR(BOM!$D273="",BOM!$R273="Cancelled"),"",IF(BOM!W273="","",BOM!W273))</f>
        <v/>
      </c>
    </row>
    <row r="268" customFormat="false" ht="15" hidden="false" customHeight="false" outlineLevel="0" collapsed="false">
      <c r="A268" s="5" t="str">
        <f aca="false">IF(OR(BOM!$D274="",BOM!$R274="Cancelled"),"",IF(BOM!A274="","",BOM!A274))</f>
        <v/>
      </c>
      <c r="B268" s="5" t="str">
        <f aca="false">IF(OR(BOM!$D274="",BOM!$R274="Cancelled"),"",IF(BOM!B274="","",BOM!B274))</f>
        <v/>
      </c>
      <c r="C268" s="5" t="str">
        <f aca="false">IF(OR(BOM!$D274="",BOM!$R274="Cancelled"),"",IF(BOM!C274="","",BOM!C274))</f>
        <v/>
      </c>
      <c r="D268" s="5" t="str">
        <f aca="false">IF(OR(BOM!$D274="",BOM!$R274="Cancelled"),"",IF(BOM!D274="","",BOM!D274))</f>
        <v/>
      </c>
      <c r="E268" s="5" t="str">
        <f aca="false">IF(OR(BOM!$D274="",BOM!$R274="Cancelled"),"",IF(BOM!E274="","",BOM!E274))</f>
        <v/>
      </c>
      <c r="F268" s="5" t="str">
        <f aca="false">IF(OR(BOM!$D274="",BOM!$R274="Cancelled"),"",IF(BOM!F274="","",BOM!F274))</f>
        <v/>
      </c>
      <c r="G268" s="5" t="str">
        <f aca="false">IF(OR(BOM!$D274="",BOM!$R274="Cancelled"),"",IF(BOM!J274="","",BOM!J274))</f>
        <v/>
      </c>
      <c r="H268" s="5" t="str">
        <f aca="false">IF(OR(BOM!$D274="",BOM!$R274="Cancelled"),"",IF(BOM!K274="","",BOM!K274))</f>
        <v/>
      </c>
      <c r="I268" s="5" t="str">
        <f aca="false">IF(OR(BOM!$D274="",BOM!$R274="Cancelled"),"",IF(BOM!M274="","",BOM!M274))</f>
        <v/>
      </c>
      <c r="J268" s="5" t="str">
        <f aca="false">IF(OR(BOM!$D274="",BOM!$R274="Cancelled"),"",IF(OR(BOM!R274="Received",BOM!R274="NSW Purchased"),"Received",IF(BOM!R274="Purchased – Not Received","Ordered",IF(BOM!R274="Finalized – Not Purchased","Design Released","In Design"))))</f>
        <v/>
      </c>
      <c r="K268" s="52" t="str">
        <f aca="false">IF(OR(BOM!$D274="",BOM!$R274="Cancelled"),"",IF(BOM!W274="","",BOM!W274))</f>
        <v/>
      </c>
    </row>
    <row r="269" customFormat="false" ht="15" hidden="false" customHeight="false" outlineLevel="0" collapsed="false">
      <c r="A269" s="5" t="str">
        <f aca="false">IF(OR(BOM!$D275="",BOM!$R275="Cancelled"),"",IF(BOM!A275="","",BOM!A275))</f>
        <v/>
      </c>
      <c r="B269" s="5" t="str">
        <f aca="false">IF(OR(BOM!$D275="",BOM!$R275="Cancelled"),"",IF(BOM!B275="","",BOM!B275))</f>
        <v/>
      </c>
      <c r="C269" s="5" t="str">
        <f aca="false">IF(OR(BOM!$D275="",BOM!$R275="Cancelled"),"",IF(BOM!C275="","",BOM!C275))</f>
        <v/>
      </c>
      <c r="D269" s="5" t="str">
        <f aca="false">IF(OR(BOM!$D275="",BOM!$R275="Cancelled"),"",IF(BOM!D275="","",BOM!D275))</f>
        <v/>
      </c>
      <c r="E269" s="5" t="str">
        <f aca="false">IF(OR(BOM!$D275="",BOM!$R275="Cancelled"),"",IF(BOM!E275="","",BOM!E275))</f>
        <v/>
      </c>
      <c r="F269" s="5" t="str">
        <f aca="false">IF(OR(BOM!$D275="",BOM!$R275="Cancelled"),"",IF(BOM!F275="","",BOM!F275))</f>
        <v/>
      </c>
      <c r="G269" s="5" t="str">
        <f aca="false">IF(OR(BOM!$D275="",BOM!$R275="Cancelled"),"",IF(BOM!J275="","",BOM!J275))</f>
        <v/>
      </c>
      <c r="H269" s="5" t="str">
        <f aca="false">IF(OR(BOM!$D275="",BOM!$R275="Cancelled"),"",IF(BOM!K275="","",BOM!K275))</f>
        <v/>
      </c>
      <c r="I269" s="5" t="str">
        <f aca="false">IF(OR(BOM!$D275="",BOM!$R275="Cancelled"),"",IF(BOM!M275="","",BOM!M275))</f>
        <v/>
      </c>
      <c r="J269" s="5" t="str">
        <f aca="false">IF(OR(BOM!$D275="",BOM!$R275="Cancelled"),"",IF(OR(BOM!R275="Received",BOM!R275="NSW Purchased"),"Received",IF(BOM!R275="Purchased – Not Received","Ordered",IF(BOM!R275="Finalized – Not Purchased","Design Released","In Design"))))</f>
        <v/>
      </c>
      <c r="K269" s="52" t="str">
        <f aca="false">IF(OR(BOM!$D275="",BOM!$R275="Cancelled"),"",IF(BOM!W275="","",BOM!W275))</f>
        <v/>
      </c>
    </row>
    <row r="270" customFormat="false" ht="15" hidden="false" customHeight="false" outlineLevel="0" collapsed="false">
      <c r="A270" s="5" t="str">
        <f aca="false">IF(OR(BOM!$D276="",BOM!$R276="Cancelled"),"",IF(BOM!A276="","",BOM!A276))</f>
        <v/>
      </c>
      <c r="B270" s="5" t="str">
        <f aca="false">IF(OR(BOM!$D276="",BOM!$R276="Cancelled"),"",IF(BOM!B276="","",BOM!B276))</f>
        <v/>
      </c>
      <c r="C270" s="5" t="str">
        <f aca="false">IF(OR(BOM!$D276="",BOM!$R276="Cancelled"),"",IF(BOM!C276="","",BOM!C276))</f>
        <v/>
      </c>
      <c r="D270" s="5" t="str">
        <f aca="false">IF(OR(BOM!$D276="",BOM!$R276="Cancelled"),"",IF(BOM!D276="","",BOM!D276))</f>
        <v/>
      </c>
      <c r="E270" s="5" t="str">
        <f aca="false">IF(OR(BOM!$D276="",BOM!$R276="Cancelled"),"",IF(BOM!E276="","",BOM!E276))</f>
        <v/>
      </c>
      <c r="F270" s="5" t="str">
        <f aca="false">IF(OR(BOM!$D276="",BOM!$R276="Cancelled"),"",IF(BOM!F276="","",BOM!F276))</f>
        <v/>
      </c>
      <c r="G270" s="5" t="str">
        <f aca="false">IF(OR(BOM!$D276="",BOM!$R276="Cancelled"),"",IF(BOM!J276="","",BOM!J276))</f>
        <v/>
      </c>
      <c r="H270" s="5" t="str">
        <f aca="false">IF(OR(BOM!$D276="",BOM!$R276="Cancelled"),"",IF(BOM!K276="","",BOM!K276))</f>
        <v/>
      </c>
      <c r="I270" s="5" t="str">
        <f aca="false">IF(OR(BOM!$D276="",BOM!$R276="Cancelled"),"",IF(BOM!M276="","",BOM!M276))</f>
        <v/>
      </c>
      <c r="J270" s="5" t="str">
        <f aca="false">IF(OR(BOM!$D276="",BOM!$R276="Cancelled"),"",IF(OR(BOM!R276="Received",BOM!R276="NSW Purchased"),"Received",IF(BOM!R276="Purchased – Not Received","Ordered",IF(BOM!R276="Finalized – Not Purchased","Design Released","In Design"))))</f>
        <v/>
      </c>
      <c r="K270" s="52" t="str">
        <f aca="false">IF(OR(BOM!$D276="",BOM!$R276="Cancelled"),"",IF(BOM!W276="","",BOM!W276))</f>
        <v/>
      </c>
    </row>
    <row r="271" customFormat="false" ht="15" hidden="false" customHeight="false" outlineLevel="0" collapsed="false">
      <c r="A271" s="5" t="str">
        <f aca="false">IF(OR(BOM!$D277="",BOM!$R277="Cancelled"),"",IF(BOM!A277="","",BOM!A277))</f>
        <v/>
      </c>
      <c r="B271" s="5" t="str">
        <f aca="false">IF(OR(BOM!$D277="",BOM!$R277="Cancelled"),"",IF(BOM!B277="","",BOM!B277))</f>
        <v/>
      </c>
      <c r="C271" s="5" t="str">
        <f aca="false">IF(OR(BOM!$D277="",BOM!$R277="Cancelled"),"",IF(BOM!C277="","",BOM!C277))</f>
        <v/>
      </c>
      <c r="D271" s="5" t="str">
        <f aca="false">IF(OR(BOM!$D277="",BOM!$R277="Cancelled"),"",IF(BOM!D277="","",BOM!D277))</f>
        <v/>
      </c>
      <c r="E271" s="5" t="str">
        <f aca="false">IF(OR(BOM!$D277="",BOM!$R277="Cancelled"),"",IF(BOM!E277="","",BOM!E277))</f>
        <v/>
      </c>
      <c r="F271" s="5" t="str">
        <f aca="false">IF(OR(BOM!$D277="",BOM!$R277="Cancelled"),"",IF(BOM!F277="","",BOM!F277))</f>
        <v/>
      </c>
      <c r="G271" s="5" t="str">
        <f aca="false">IF(OR(BOM!$D277="",BOM!$R277="Cancelled"),"",IF(BOM!J277="","",BOM!J277))</f>
        <v/>
      </c>
      <c r="H271" s="5" t="str">
        <f aca="false">IF(OR(BOM!$D277="",BOM!$R277="Cancelled"),"",IF(BOM!K277="","",BOM!K277))</f>
        <v/>
      </c>
      <c r="I271" s="5" t="str">
        <f aca="false">IF(OR(BOM!$D277="",BOM!$R277="Cancelled"),"",IF(BOM!M277="","",BOM!M277))</f>
        <v/>
      </c>
      <c r="J271" s="5" t="str">
        <f aca="false">IF(OR(BOM!$D277="",BOM!$R277="Cancelled"),"",IF(OR(BOM!R277="Received",BOM!R277="NSW Purchased"),"Received",IF(BOM!R277="Purchased – Not Received","Ordered",IF(BOM!R277="Finalized – Not Purchased","Design Released","In Design"))))</f>
        <v/>
      </c>
      <c r="K271" s="52" t="str">
        <f aca="false">IF(OR(BOM!$D277="",BOM!$R277="Cancelled"),"",IF(BOM!W277="","",BOM!W277))</f>
        <v/>
      </c>
    </row>
    <row r="272" customFormat="false" ht="15" hidden="false" customHeight="false" outlineLevel="0" collapsed="false">
      <c r="A272" s="5" t="str">
        <f aca="false">IF(OR(BOM!$D278="",BOM!$R278="Cancelled"),"",IF(BOM!A278="","",BOM!A278))</f>
        <v/>
      </c>
      <c r="B272" s="5" t="str">
        <f aca="false">IF(OR(BOM!$D278="",BOM!$R278="Cancelled"),"",IF(BOM!B278="","",BOM!B278))</f>
        <v/>
      </c>
      <c r="C272" s="5" t="str">
        <f aca="false">IF(OR(BOM!$D278="",BOM!$R278="Cancelled"),"",IF(BOM!C278="","",BOM!C278))</f>
        <v/>
      </c>
      <c r="D272" s="5" t="str">
        <f aca="false">IF(OR(BOM!$D278="",BOM!$R278="Cancelled"),"",IF(BOM!D278="","",BOM!D278))</f>
        <v/>
      </c>
      <c r="E272" s="5" t="str">
        <f aca="false">IF(OR(BOM!$D278="",BOM!$R278="Cancelled"),"",IF(BOM!E278="","",BOM!E278))</f>
        <v/>
      </c>
      <c r="F272" s="5" t="str">
        <f aca="false">IF(OR(BOM!$D278="",BOM!$R278="Cancelled"),"",IF(BOM!F278="","",BOM!F278))</f>
        <v/>
      </c>
      <c r="G272" s="5" t="str">
        <f aca="false">IF(OR(BOM!$D278="",BOM!$R278="Cancelled"),"",IF(BOM!J278="","",BOM!J278))</f>
        <v/>
      </c>
      <c r="H272" s="5" t="str">
        <f aca="false">IF(OR(BOM!$D278="",BOM!$R278="Cancelled"),"",IF(BOM!K278="","",BOM!K278))</f>
        <v/>
      </c>
      <c r="I272" s="5" t="str">
        <f aca="false">IF(OR(BOM!$D278="",BOM!$R278="Cancelled"),"",IF(BOM!M278="","",BOM!M278))</f>
        <v/>
      </c>
      <c r="J272" s="5" t="str">
        <f aca="false">IF(OR(BOM!$D278="",BOM!$R278="Cancelled"),"",IF(OR(BOM!R278="Received",BOM!R278="NSW Purchased"),"Received",IF(BOM!R278="Purchased – Not Received","Ordered",IF(BOM!R278="Finalized – Not Purchased","Design Released","In Design"))))</f>
        <v/>
      </c>
      <c r="K272" s="52" t="str">
        <f aca="false">IF(OR(BOM!$D278="",BOM!$R278="Cancelled"),"",IF(BOM!W278="","",BOM!W278))</f>
        <v/>
      </c>
    </row>
    <row r="273" customFormat="false" ht="15" hidden="false" customHeight="false" outlineLevel="0" collapsed="false">
      <c r="A273" s="5" t="str">
        <f aca="false">IF(OR(BOM!$D279="",BOM!$R279="Cancelled"),"",IF(BOM!A279="","",BOM!A279))</f>
        <v/>
      </c>
      <c r="B273" s="5" t="str">
        <f aca="false">IF(OR(BOM!$D279="",BOM!$R279="Cancelled"),"",IF(BOM!B279="","",BOM!B279))</f>
        <v/>
      </c>
      <c r="C273" s="5" t="str">
        <f aca="false">IF(OR(BOM!$D279="",BOM!$R279="Cancelled"),"",IF(BOM!C279="","",BOM!C279))</f>
        <v/>
      </c>
      <c r="D273" s="5" t="str">
        <f aca="false">IF(OR(BOM!$D279="",BOM!$R279="Cancelled"),"",IF(BOM!D279="","",BOM!D279))</f>
        <v/>
      </c>
      <c r="E273" s="5" t="str">
        <f aca="false">IF(OR(BOM!$D279="",BOM!$R279="Cancelled"),"",IF(BOM!E279="","",BOM!E279))</f>
        <v/>
      </c>
      <c r="F273" s="5" t="str">
        <f aca="false">IF(OR(BOM!$D279="",BOM!$R279="Cancelled"),"",IF(BOM!F279="","",BOM!F279))</f>
        <v/>
      </c>
      <c r="G273" s="5" t="str">
        <f aca="false">IF(OR(BOM!$D279="",BOM!$R279="Cancelled"),"",IF(BOM!J279="","",BOM!J279))</f>
        <v/>
      </c>
      <c r="H273" s="5" t="str">
        <f aca="false">IF(OR(BOM!$D279="",BOM!$R279="Cancelled"),"",IF(BOM!K279="","",BOM!K279))</f>
        <v/>
      </c>
      <c r="I273" s="5" t="str">
        <f aca="false">IF(OR(BOM!$D279="",BOM!$R279="Cancelled"),"",IF(BOM!M279="","",BOM!M279))</f>
        <v/>
      </c>
      <c r="J273" s="5" t="str">
        <f aca="false">IF(OR(BOM!$D279="",BOM!$R279="Cancelled"),"",IF(OR(BOM!R279="Received",BOM!R279="NSW Purchased"),"Received",IF(BOM!R279="Purchased – Not Received","Ordered",IF(BOM!R279="Finalized – Not Purchased","Design Released","In Design"))))</f>
        <v/>
      </c>
      <c r="K273" s="52" t="str">
        <f aca="false">IF(OR(BOM!$D279="",BOM!$R279="Cancelled"),"",IF(BOM!W279="","",BOM!W279))</f>
        <v/>
      </c>
    </row>
    <row r="274" customFormat="false" ht="15" hidden="false" customHeight="false" outlineLevel="0" collapsed="false">
      <c r="A274" s="5" t="str">
        <f aca="false">IF(OR(BOM!$D280="",BOM!$R280="Cancelled"),"",IF(BOM!A280="","",BOM!A280))</f>
        <v/>
      </c>
      <c r="B274" s="5" t="str">
        <f aca="false">IF(OR(BOM!$D280="",BOM!$R280="Cancelled"),"",IF(BOM!B280="","",BOM!B280))</f>
        <v/>
      </c>
      <c r="C274" s="5" t="str">
        <f aca="false">IF(OR(BOM!$D280="",BOM!$R280="Cancelled"),"",IF(BOM!C280="","",BOM!C280))</f>
        <v/>
      </c>
      <c r="D274" s="5" t="str">
        <f aca="false">IF(OR(BOM!$D280="",BOM!$R280="Cancelled"),"",IF(BOM!D280="","",BOM!D280))</f>
        <v/>
      </c>
      <c r="E274" s="5" t="str">
        <f aca="false">IF(OR(BOM!$D280="",BOM!$R280="Cancelled"),"",IF(BOM!E280="","",BOM!E280))</f>
        <v/>
      </c>
      <c r="F274" s="5" t="str">
        <f aca="false">IF(OR(BOM!$D280="",BOM!$R280="Cancelled"),"",IF(BOM!F280="","",BOM!F280))</f>
        <v/>
      </c>
      <c r="G274" s="5" t="str">
        <f aca="false">IF(OR(BOM!$D280="",BOM!$R280="Cancelled"),"",IF(BOM!J280="","",BOM!J280))</f>
        <v/>
      </c>
      <c r="H274" s="5" t="str">
        <f aca="false">IF(OR(BOM!$D280="",BOM!$R280="Cancelled"),"",IF(BOM!K280="","",BOM!K280))</f>
        <v/>
      </c>
      <c r="I274" s="5" t="str">
        <f aca="false">IF(OR(BOM!$D280="",BOM!$R280="Cancelled"),"",IF(BOM!M280="","",BOM!M280))</f>
        <v/>
      </c>
      <c r="J274" s="5" t="str">
        <f aca="false">IF(OR(BOM!$D280="",BOM!$R280="Cancelled"),"",IF(OR(BOM!R280="Received",BOM!R280="NSW Purchased"),"Received",IF(BOM!R280="Purchased – Not Received","Ordered",IF(BOM!R280="Finalized – Not Purchased","Design Released","In Design"))))</f>
        <v/>
      </c>
      <c r="K274" s="52" t="str">
        <f aca="false">IF(OR(BOM!$D280="",BOM!$R280="Cancelled"),"",IF(BOM!W280="","",BOM!W280))</f>
        <v/>
      </c>
    </row>
    <row r="275" customFormat="false" ht="15" hidden="false" customHeight="false" outlineLevel="0" collapsed="false">
      <c r="A275" s="5" t="str">
        <f aca="false">IF(OR(BOM!$D281="",BOM!$R281="Cancelled"),"",IF(BOM!A281="","",BOM!A281))</f>
        <v/>
      </c>
      <c r="B275" s="5" t="str">
        <f aca="false">IF(OR(BOM!$D281="",BOM!$R281="Cancelled"),"",IF(BOM!B281="","",BOM!B281))</f>
        <v/>
      </c>
      <c r="C275" s="5" t="str">
        <f aca="false">IF(OR(BOM!$D281="",BOM!$R281="Cancelled"),"",IF(BOM!C281="","",BOM!C281))</f>
        <v/>
      </c>
      <c r="D275" s="5" t="str">
        <f aca="false">IF(OR(BOM!$D281="",BOM!$R281="Cancelled"),"",IF(BOM!D281="","",BOM!D281))</f>
        <v/>
      </c>
      <c r="E275" s="5" t="str">
        <f aca="false">IF(OR(BOM!$D281="",BOM!$R281="Cancelled"),"",IF(BOM!E281="","",BOM!E281))</f>
        <v/>
      </c>
      <c r="F275" s="5" t="str">
        <f aca="false">IF(OR(BOM!$D281="",BOM!$R281="Cancelled"),"",IF(BOM!F281="","",BOM!F281))</f>
        <v/>
      </c>
      <c r="G275" s="5" t="str">
        <f aca="false">IF(OR(BOM!$D281="",BOM!$R281="Cancelled"),"",IF(BOM!J281="","",BOM!J281))</f>
        <v/>
      </c>
      <c r="H275" s="5" t="str">
        <f aca="false">IF(OR(BOM!$D281="",BOM!$R281="Cancelled"),"",IF(BOM!K281="","",BOM!K281))</f>
        <v/>
      </c>
      <c r="I275" s="5" t="str">
        <f aca="false">IF(OR(BOM!$D281="",BOM!$R281="Cancelled"),"",IF(BOM!M281="","",BOM!M281))</f>
        <v/>
      </c>
      <c r="J275" s="5" t="str">
        <f aca="false">IF(OR(BOM!$D281="",BOM!$R281="Cancelled"),"",IF(OR(BOM!R281="Received",BOM!R281="NSW Purchased"),"Received",IF(BOM!R281="Purchased – Not Received","Ordered",IF(BOM!R281="Finalized – Not Purchased","Design Released","In Design"))))</f>
        <v/>
      </c>
      <c r="K275" s="52" t="str">
        <f aca="false">IF(OR(BOM!$D281="",BOM!$R281="Cancelled"),"",IF(BOM!W281="","",BOM!W281))</f>
        <v/>
      </c>
    </row>
    <row r="276" customFormat="false" ht="15" hidden="false" customHeight="false" outlineLevel="0" collapsed="false">
      <c r="A276" s="5" t="str">
        <f aca="false">IF(OR(BOM!$D282="",BOM!$R282="Cancelled"),"",IF(BOM!A282="","",BOM!A282))</f>
        <v/>
      </c>
      <c r="B276" s="5" t="str">
        <f aca="false">IF(OR(BOM!$D282="",BOM!$R282="Cancelled"),"",IF(BOM!B282="","",BOM!B282))</f>
        <v/>
      </c>
      <c r="C276" s="5" t="str">
        <f aca="false">IF(OR(BOM!$D282="",BOM!$R282="Cancelled"),"",IF(BOM!C282="","",BOM!C282))</f>
        <v/>
      </c>
      <c r="D276" s="5" t="str">
        <f aca="false">IF(OR(BOM!$D282="",BOM!$R282="Cancelled"),"",IF(BOM!D282="","",BOM!D282))</f>
        <v/>
      </c>
      <c r="E276" s="5" t="str">
        <f aca="false">IF(OR(BOM!$D282="",BOM!$R282="Cancelled"),"",IF(BOM!E282="","",BOM!E282))</f>
        <v/>
      </c>
      <c r="F276" s="5" t="str">
        <f aca="false">IF(OR(BOM!$D282="",BOM!$R282="Cancelled"),"",IF(BOM!F282="","",BOM!F282))</f>
        <v/>
      </c>
      <c r="G276" s="5" t="str">
        <f aca="false">IF(OR(BOM!$D282="",BOM!$R282="Cancelled"),"",IF(BOM!J282="","",BOM!J282))</f>
        <v/>
      </c>
      <c r="H276" s="5" t="str">
        <f aca="false">IF(OR(BOM!$D282="",BOM!$R282="Cancelled"),"",IF(BOM!K282="","",BOM!K282))</f>
        <v/>
      </c>
      <c r="I276" s="5" t="str">
        <f aca="false">IF(OR(BOM!$D282="",BOM!$R282="Cancelled"),"",IF(BOM!M282="","",BOM!M282))</f>
        <v/>
      </c>
      <c r="J276" s="5" t="str">
        <f aca="false">IF(OR(BOM!$D282="",BOM!$R282="Cancelled"),"",IF(OR(BOM!R282="Received",BOM!R282="NSW Purchased"),"Received",IF(BOM!R282="Purchased – Not Received","Ordered",IF(BOM!R282="Finalized – Not Purchased","Design Released","In Design"))))</f>
        <v/>
      </c>
      <c r="K276" s="52" t="str">
        <f aca="false">IF(OR(BOM!$D282="",BOM!$R282="Cancelled"),"",IF(BOM!W282="","",BOM!W282))</f>
        <v/>
      </c>
    </row>
    <row r="277" customFormat="false" ht="15" hidden="false" customHeight="false" outlineLevel="0" collapsed="false">
      <c r="A277" s="5" t="str">
        <f aca="false">IF(OR(BOM!$D283="",BOM!$R283="Cancelled"),"",IF(BOM!A283="","",BOM!A283))</f>
        <v/>
      </c>
      <c r="B277" s="5" t="str">
        <f aca="false">IF(OR(BOM!$D283="",BOM!$R283="Cancelled"),"",IF(BOM!B283="","",BOM!B283))</f>
        <v/>
      </c>
      <c r="C277" s="5" t="str">
        <f aca="false">IF(OR(BOM!$D283="",BOM!$R283="Cancelled"),"",IF(BOM!C283="","",BOM!C283))</f>
        <v/>
      </c>
      <c r="D277" s="5" t="str">
        <f aca="false">IF(OR(BOM!$D283="",BOM!$R283="Cancelled"),"",IF(BOM!D283="","",BOM!D283))</f>
        <v/>
      </c>
      <c r="E277" s="5" t="str">
        <f aca="false">IF(OR(BOM!$D283="",BOM!$R283="Cancelled"),"",IF(BOM!E283="","",BOM!E283))</f>
        <v/>
      </c>
      <c r="F277" s="5" t="str">
        <f aca="false">IF(OR(BOM!$D283="",BOM!$R283="Cancelled"),"",IF(BOM!F283="","",BOM!F283))</f>
        <v/>
      </c>
      <c r="G277" s="5" t="str">
        <f aca="false">IF(OR(BOM!$D283="",BOM!$R283="Cancelled"),"",IF(BOM!J283="","",BOM!J283))</f>
        <v/>
      </c>
      <c r="H277" s="5" t="str">
        <f aca="false">IF(OR(BOM!$D283="",BOM!$R283="Cancelled"),"",IF(BOM!K283="","",BOM!K283))</f>
        <v/>
      </c>
      <c r="I277" s="5" t="str">
        <f aca="false">IF(OR(BOM!$D283="",BOM!$R283="Cancelled"),"",IF(BOM!M283="","",BOM!M283))</f>
        <v/>
      </c>
      <c r="J277" s="5" t="str">
        <f aca="false">IF(OR(BOM!$D283="",BOM!$R283="Cancelled"),"",IF(OR(BOM!R283="Received",BOM!R283="NSW Purchased"),"Received",IF(BOM!R283="Purchased – Not Received","Ordered",IF(BOM!R283="Finalized – Not Purchased","Design Released","In Design"))))</f>
        <v/>
      </c>
      <c r="K277" s="52" t="str">
        <f aca="false">IF(OR(BOM!$D283="",BOM!$R283="Cancelled"),"",IF(BOM!W283="","",BOM!W283))</f>
        <v/>
      </c>
    </row>
    <row r="278" customFormat="false" ht="15" hidden="false" customHeight="false" outlineLevel="0" collapsed="false">
      <c r="A278" s="5" t="str">
        <f aca="false">IF(OR(BOM!$D284="",BOM!$R284="Cancelled"),"",IF(BOM!A284="","",BOM!A284))</f>
        <v/>
      </c>
      <c r="B278" s="5" t="str">
        <f aca="false">IF(OR(BOM!$D284="",BOM!$R284="Cancelled"),"",IF(BOM!B284="","",BOM!B284))</f>
        <v/>
      </c>
      <c r="C278" s="5" t="str">
        <f aca="false">IF(OR(BOM!$D284="",BOM!$R284="Cancelled"),"",IF(BOM!C284="","",BOM!C284))</f>
        <v/>
      </c>
      <c r="D278" s="5" t="str">
        <f aca="false">IF(OR(BOM!$D284="",BOM!$R284="Cancelled"),"",IF(BOM!D284="","",BOM!D284))</f>
        <v/>
      </c>
      <c r="E278" s="5" t="str">
        <f aca="false">IF(OR(BOM!$D284="",BOM!$R284="Cancelled"),"",IF(BOM!E284="","",BOM!E284))</f>
        <v/>
      </c>
      <c r="F278" s="5" t="str">
        <f aca="false">IF(OR(BOM!$D284="",BOM!$R284="Cancelled"),"",IF(BOM!F284="","",BOM!F284))</f>
        <v/>
      </c>
      <c r="G278" s="5" t="str">
        <f aca="false">IF(OR(BOM!$D284="",BOM!$R284="Cancelled"),"",IF(BOM!J284="","",BOM!J284))</f>
        <v/>
      </c>
      <c r="H278" s="5" t="str">
        <f aca="false">IF(OR(BOM!$D284="",BOM!$R284="Cancelled"),"",IF(BOM!K284="","",BOM!K284))</f>
        <v/>
      </c>
      <c r="I278" s="5" t="str">
        <f aca="false">IF(OR(BOM!$D284="",BOM!$R284="Cancelled"),"",IF(BOM!M284="","",BOM!M284))</f>
        <v/>
      </c>
      <c r="J278" s="5" t="str">
        <f aca="false">IF(OR(BOM!$D284="",BOM!$R284="Cancelled"),"",IF(OR(BOM!R284="Received",BOM!R284="NSW Purchased"),"Received",IF(BOM!R284="Purchased – Not Received","Ordered",IF(BOM!R284="Finalized – Not Purchased","Design Released","In Design"))))</f>
        <v/>
      </c>
      <c r="K278" s="52" t="str">
        <f aca="false">IF(OR(BOM!$D284="",BOM!$R284="Cancelled"),"",IF(BOM!W284="","",BOM!W284))</f>
        <v/>
      </c>
    </row>
    <row r="279" customFormat="false" ht="15" hidden="false" customHeight="false" outlineLevel="0" collapsed="false">
      <c r="A279" s="5" t="str">
        <f aca="false">IF(OR(BOM!$D285="",BOM!$R285="Cancelled"),"",IF(BOM!A285="","",BOM!A285))</f>
        <v/>
      </c>
      <c r="B279" s="5" t="str">
        <f aca="false">IF(OR(BOM!$D285="",BOM!$R285="Cancelled"),"",IF(BOM!B285="","",BOM!B285))</f>
        <v/>
      </c>
      <c r="C279" s="5" t="str">
        <f aca="false">IF(OR(BOM!$D285="",BOM!$R285="Cancelled"),"",IF(BOM!C285="","",BOM!C285))</f>
        <v/>
      </c>
      <c r="D279" s="5" t="str">
        <f aca="false">IF(OR(BOM!$D285="",BOM!$R285="Cancelled"),"",IF(BOM!D285="","",BOM!D285))</f>
        <v/>
      </c>
      <c r="E279" s="5" t="str">
        <f aca="false">IF(OR(BOM!$D285="",BOM!$R285="Cancelled"),"",IF(BOM!E285="","",BOM!E285))</f>
        <v/>
      </c>
      <c r="F279" s="5" t="str">
        <f aca="false">IF(OR(BOM!$D285="",BOM!$R285="Cancelled"),"",IF(BOM!F285="","",BOM!F285))</f>
        <v/>
      </c>
      <c r="G279" s="5" t="str">
        <f aca="false">IF(OR(BOM!$D285="",BOM!$R285="Cancelled"),"",IF(BOM!J285="","",BOM!J285))</f>
        <v/>
      </c>
      <c r="H279" s="5" t="str">
        <f aca="false">IF(OR(BOM!$D285="",BOM!$R285="Cancelled"),"",IF(BOM!K285="","",BOM!K285))</f>
        <v/>
      </c>
      <c r="I279" s="5" t="str">
        <f aca="false">IF(OR(BOM!$D285="",BOM!$R285="Cancelled"),"",IF(BOM!M285="","",BOM!M285))</f>
        <v/>
      </c>
      <c r="J279" s="5" t="str">
        <f aca="false">IF(OR(BOM!$D285="",BOM!$R285="Cancelled"),"",IF(OR(BOM!R285="Received",BOM!R285="NSW Purchased"),"Received",IF(BOM!R285="Purchased – Not Received","Ordered",IF(BOM!R285="Finalized – Not Purchased","Design Released","In Design"))))</f>
        <v/>
      </c>
      <c r="K279" s="52" t="str">
        <f aca="false">IF(OR(BOM!$D285="",BOM!$R285="Cancelled"),"",IF(BOM!W285="","",BOM!W285))</f>
        <v/>
      </c>
    </row>
    <row r="280" customFormat="false" ht="15" hidden="false" customHeight="false" outlineLevel="0" collapsed="false">
      <c r="A280" s="5" t="str">
        <f aca="false">IF(OR(BOM!$D286="",BOM!$R286="Cancelled"),"",IF(BOM!A286="","",BOM!A286))</f>
        <v/>
      </c>
      <c r="B280" s="5" t="str">
        <f aca="false">IF(OR(BOM!$D286="",BOM!$R286="Cancelled"),"",IF(BOM!B286="","",BOM!B286))</f>
        <v/>
      </c>
      <c r="C280" s="5" t="str">
        <f aca="false">IF(OR(BOM!$D286="",BOM!$R286="Cancelled"),"",IF(BOM!C286="","",BOM!C286))</f>
        <v/>
      </c>
      <c r="D280" s="5" t="str">
        <f aca="false">IF(OR(BOM!$D286="",BOM!$R286="Cancelled"),"",IF(BOM!D286="","",BOM!D286))</f>
        <v/>
      </c>
      <c r="E280" s="5" t="str">
        <f aca="false">IF(OR(BOM!$D286="",BOM!$R286="Cancelled"),"",IF(BOM!E286="","",BOM!E286))</f>
        <v/>
      </c>
      <c r="F280" s="5" t="str">
        <f aca="false">IF(OR(BOM!$D286="",BOM!$R286="Cancelled"),"",IF(BOM!F286="","",BOM!F286))</f>
        <v/>
      </c>
      <c r="G280" s="5" t="str">
        <f aca="false">IF(OR(BOM!$D286="",BOM!$R286="Cancelled"),"",IF(BOM!J286="","",BOM!J286))</f>
        <v/>
      </c>
      <c r="H280" s="5" t="str">
        <f aca="false">IF(OR(BOM!$D286="",BOM!$R286="Cancelled"),"",IF(BOM!K286="","",BOM!K286))</f>
        <v/>
      </c>
      <c r="I280" s="5" t="str">
        <f aca="false">IF(OR(BOM!$D286="",BOM!$R286="Cancelled"),"",IF(BOM!M286="","",BOM!M286))</f>
        <v/>
      </c>
      <c r="J280" s="5" t="str">
        <f aca="false">IF(OR(BOM!$D286="",BOM!$R286="Cancelled"),"",IF(OR(BOM!R286="Received",BOM!R286="NSW Purchased"),"Received",IF(BOM!R286="Purchased – Not Received","Ordered",IF(BOM!R286="Finalized – Not Purchased","Design Released","In Design"))))</f>
        <v/>
      </c>
      <c r="K280" s="52" t="str">
        <f aca="false">IF(OR(BOM!$D286="",BOM!$R286="Cancelled"),"",IF(BOM!W286="","",BOM!W286))</f>
        <v/>
      </c>
    </row>
    <row r="281" customFormat="false" ht="15" hidden="false" customHeight="false" outlineLevel="0" collapsed="false">
      <c r="A281" s="5" t="str">
        <f aca="false">IF(OR(BOM!$D287="",BOM!$R287="Cancelled"),"",IF(BOM!A287="","",BOM!A287))</f>
        <v/>
      </c>
      <c r="B281" s="5" t="str">
        <f aca="false">IF(OR(BOM!$D287="",BOM!$R287="Cancelled"),"",IF(BOM!B287="","",BOM!B287))</f>
        <v/>
      </c>
      <c r="C281" s="5" t="str">
        <f aca="false">IF(OR(BOM!$D287="",BOM!$R287="Cancelled"),"",IF(BOM!C287="","",BOM!C287))</f>
        <v/>
      </c>
      <c r="D281" s="5" t="str">
        <f aca="false">IF(OR(BOM!$D287="",BOM!$R287="Cancelled"),"",IF(BOM!D287="","",BOM!D287))</f>
        <v/>
      </c>
      <c r="E281" s="5" t="str">
        <f aca="false">IF(OR(BOM!$D287="",BOM!$R287="Cancelled"),"",IF(BOM!E287="","",BOM!E287))</f>
        <v/>
      </c>
      <c r="F281" s="5" t="str">
        <f aca="false">IF(OR(BOM!$D287="",BOM!$R287="Cancelled"),"",IF(BOM!F287="","",BOM!F287))</f>
        <v/>
      </c>
      <c r="G281" s="5" t="str">
        <f aca="false">IF(OR(BOM!$D287="",BOM!$R287="Cancelled"),"",IF(BOM!J287="","",BOM!J287))</f>
        <v/>
      </c>
      <c r="H281" s="5" t="str">
        <f aca="false">IF(OR(BOM!$D287="",BOM!$R287="Cancelled"),"",IF(BOM!K287="","",BOM!K287))</f>
        <v/>
      </c>
      <c r="I281" s="5" t="str">
        <f aca="false">IF(OR(BOM!$D287="",BOM!$R287="Cancelled"),"",IF(BOM!M287="","",BOM!M287))</f>
        <v/>
      </c>
      <c r="J281" s="5" t="str">
        <f aca="false">IF(OR(BOM!$D287="",BOM!$R287="Cancelled"),"",IF(OR(BOM!R287="Received",BOM!R287="NSW Purchased"),"Received",IF(BOM!R287="Purchased – Not Received","Ordered",IF(BOM!R287="Finalized – Not Purchased","Design Released","In Design"))))</f>
        <v/>
      </c>
      <c r="K281" s="52" t="str">
        <f aca="false">IF(OR(BOM!$D287="",BOM!$R287="Cancelled"),"",IF(BOM!W287="","",BOM!W287))</f>
        <v/>
      </c>
    </row>
    <row r="282" customFormat="false" ht="15" hidden="false" customHeight="false" outlineLevel="0" collapsed="false">
      <c r="A282" s="5" t="str">
        <f aca="false">IF(OR(BOM!$D288="",BOM!$R288="Cancelled"),"",IF(BOM!A288="","",BOM!A288))</f>
        <v/>
      </c>
      <c r="B282" s="5" t="str">
        <f aca="false">IF(OR(BOM!$D288="",BOM!$R288="Cancelled"),"",IF(BOM!B288="","",BOM!B288))</f>
        <v/>
      </c>
      <c r="C282" s="5" t="str">
        <f aca="false">IF(OR(BOM!$D288="",BOM!$R288="Cancelled"),"",IF(BOM!C288="","",BOM!C288))</f>
        <v/>
      </c>
      <c r="D282" s="5" t="str">
        <f aca="false">IF(OR(BOM!$D288="",BOM!$R288="Cancelled"),"",IF(BOM!D288="","",BOM!D288))</f>
        <v/>
      </c>
      <c r="E282" s="5" t="str">
        <f aca="false">IF(OR(BOM!$D288="",BOM!$R288="Cancelled"),"",IF(BOM!E288="","",BOM!E288))</f>
        <v/>
      </c>
      <c r="F282" s="5" t="str">
        <f aca="false">IF(OR(BOM!$D288="",BOM!$R288="Cancelled"),"",IF(BOM!F288="","",BOM!F288))</f>
        <v/>
      </c>
      <c r="G282" s="5" t="str">
        <f aca="false">IF(OR(BOM!$D288="",BOM!$R288="Cancelled"),"",IF(BOM!J288="","",BOM!J288))</f>
        <v/>
      </c>
      <c r="H282" s="5" t="str">
        <f aca="false">IF(OR(BOM!$D288="",BOM!$R288="Cancelled"),"",IF(BOM!K288="","",BOM!K288))</f>
        <v/>
      </c>
      <c r="I282" s="5" t="str">
        <f aca="false">IF(OR(BOM!$D288="",BOM!$R288="Cancelled"),"",IF(BOM!M288="","",BOM!M288))</f>
        <v/>
      </c>
      <c r="J282" s="5" t="str">
        <f aca="false">IF(OR(BOM!$D288="",BOM!$R288="Cancelled"),"",IF(OR(BOM!R288="Received",BOM!R288="NSW Purchased"),"Received",IF(BOM!R288="Purchased – Not Received","Ordered",IF(BOM!R288="Finalized – Not Purchased","Design Released","In Design"))))</f>
        <v/>
      </c>
      <c r="K282" s="52" t="str">
        <f aca="false">IF(OR(BOM!$D288="",BOM!$R288="Cancelled"),"",IF(BOM!W288="","",BOM!W288))</f>
        <v/>
      </c>
    </row>
    <row r="283" customFormat="false" ht="15" hidden="false" customHeight="false" outlineLevel="0" collapsed="false">
      <c r="A283" s="5" t="str">
        <f aca="false">IF(OR(BOM!$D289="",BOM!$R289="Cancelled"),"",IF(BOM!A289="","",BOM!A289))</f>
        <v/>
      </c>
      <c r="B283" s="5" t="str">
        <f aca="false">IF(OR(BOM!$D289="",BOM!$R289="Cancelled"),"",IF(BOM!B289="","",BOM!B289))</f>
        <v/>
      </c>
      <c r="C283" s="5" t="str">
        <f aca="false">IF(OR(BOM!$D289="",BOM!$R289="Cancelled"),"",IF(BOM!C289="","",BOM!C289))</f>
        <v/>
      </c>
      <c r="D283" s="5" t="str">
        <f aca="false">IF(OR(BOM!$D289="",BOM!$R289="Cancelled"),"",IF(BOM!D289="","",BOM!D289))</f>
        <v/>
      </c>
      <c r="E283" s="5" t="str">
        <f aca="false">IF(OR(BOM!$D289="",BOM!$R289="Cancelled"),"",IF(BOM!E289="","",BOM!E289))</f>
        <v/>
      </c>
      <c r="F283" s="5" t="str">
        <f aca="false">IF(OR(BOM!$D289="",BOM!$R289="Cancelled"),"",IF(BOM!F289="","",BOM!F289))</f>
        <v/>
      </c>
      <c r="G283" s="5" t="str">
        <f aca="false">IF(OR(BOM!$D289="",BOM!$R289="Cancelled"),"",IF(BOM!J289="","",BOM!J289))</f>
        <v/>
      </c>
      <c r="H283" s="5" t="str">
        <f aca="false">IF(OR(BOM!$D289="",BOM!$R289="Cancelled"),"",IF(BOM!K289="","",BOM!K289))</f>
        <v/>
      </c>
      <c r="I283" s="5" t="str">
        <f aca="false">IF(OR(BOM!$D289="",BOM!$R289="Cancelled"),"",IF(BOM!M289="","",BOM!M289))</f>
        <v/>
      </c>
      <c r="J283" s="5" t="str">
        <f aca="false">IF(OR(BOM!$D289="",BOM!$R289="Cancelled"),"",IF(OR(BOM!R289="Received",BOM!R289="NSW Purchased"),"Received",IF(BOM!R289="Purchased – Not Received","Ordered",IF(BOM!R289="Finalized – Not Purchased","Design Released","In Design"))))</f>
        <v/>
      </c>
      <c r="K283" s="52" t="str">
        <f aca="false">IF(OR(BOM!$D289="",BOM!$R289="Cancelled"),"",IF(BOM!W289="","",BOM!W289))</f>
        <v/>
      </c>
    </row>
    <row r="284" customFormat="false" ht="15" hidden="false" customHeight="false" outlineLevel="0" collapsed="false">
      <c r="A284" s="5" t="str">
        <f aca="false">IF(OR(BOM!$D290="",BOM!$R290="Cancelled"),"",IF(BOM!A290="","",BOM!A290))</f>
        <v/>
      </c>
      <c r="B284" s="5" t="str">
        <f aca="false">IF(OR(BOM!$D290="",BOM!$R290="Cancelled"),"",IF(BOM!B290="","",BOM!B290))</f>
        <v/>
      </c>
      <c r="C284" s="5" t="str">
        <f aca="false">IF(OR(BOM!$D290="",BOM!$R290="Cancelled"),"",IF(BOM!C290="","",BOM!C290))</f>
        <v/>
      </c>
      <c r="D284" s="5" t="str">
        <f aca="false">IF(OR(BOM!$D290="",BOM!$R290="Cancelled"),"",IF(BOM!D290="","",BOM!D290))</f>
        <v/>
      </c>
      <c r="E284" s="5" t="str">
        <f aca="false">IF(OR(BOM!$D290="",BOM!$R290="Cancelled"),"",IF(BOM!E290="","",BOM!E290))</f>
        <v/>
      </c>
      <c r="F284" s="5" t="str">
        <f aca="false">IF(OR(BOM!$D290="",BOM!$R290="Cancelled"),"",IF(BOM!F290="","",BOM!F290))</f>
        <v/>
      </c>
      <c r="G284" s="5" t="str">
        <f aca="false">IF(OR(BOM!$D290="",BOM!$R290="Cancelled"),"",IF(BOM!J290="","",BOM!J290))</f>
        <v/>
      </c>
      <c r="H284" s="5" t="str">
        <f aca="false">IF(OR(BOM!$D290="",BOM!$R290="Cancelled"),"",IF(BOM!K290="","",BOM!K290))</f>
        <v/>
      </c>
      <c r="I284" s="5" t="str">
        <f aca="false">IF(OR(BOM!$D290="",BOM!$R290="Cancelled"),"",IF(BOM!M290="","",BOM!M290))</f>
        <v/>
      </c>
      <c r="J284" s="5" t="str">
        <f aca="false">IF(OR(BOM!$D290="",BOM!$R290="Cancelled"),"",IF(OR(BOM!R290="Received",BOM!R290="NSW Purchased"),"Received",IF(BOM!R290="Purchased – Not Received","Ordered",IF(BOM!R290="Finalized – Not Purchased","Design Released","In Design"))))</f>
        <v/>
      </c>
      <c r="K284" s="52" t="str">
        <f aca="false">IF(OR(BOM!$D290="",BOM!$R290="Cancelled"),"",IF(BOM!W290="","",BOM!W290))</f>
        <v/>
      </c>
    </row>
    <row r="285" customFormat="false" ht="15" hidden="false" customHeight="false" outlineLevel="0" collapsed="false">
      <c r="A285" s="5" t="str">
        <f aca="false">IF(OR(BOM!$D291="",BOM!$R291="Cancelled"),"",IF(BOM!A291="","",BOM!A291))</f>
        <v/>
      </c>
      <c r="B285" s="5" t="str">
        <f aca="false">IF(OR(BOM!$D291="",BOM!$R291="Cancelled"),"",IF(BOM!B291="","",BOM!B291))</f>
        <v/>
      </c>
      <c r="C285" s="5" t="str">
        <f aca="false">IF(OR(BOM!$D291="",BOM!$R291="Cancelled"),"",IF(BOM!C291="","",BOM!C291))</f>
        <v/>
      </c>
      <c r="D285" s="5" t="str">
        <f aca="false">IF(OR(BOM!$D291="",BOM!$R291="Cancelled"),"",IF(BOM!D291="","",BOM!D291))</f>
        <v/>
      </c>
      <c r="E285" s="5" t="str">
        <f aca="false">IF(OR(BOM!$D291="",BOM!$R291="Cancelled"),"",IF(BOM!E291="","",BOM!E291))</f>
        <v/>
      </c>
      <c r="F285" s="5" t="str">
        <f aca="false">IF(OR(BOM!$D291="",BOM!$R291="Cancelled"),"",IF(BOM!F291="","",BOM!F291))</f>
        <v/>
      </c>
      <c r="G285" s="5" t="str">
        <f aca="false">IF(OR(BOM!$D291="",BOM!$R291="Cancelled"),"",IF(BOM!J291="","",BOM!J291))</f>
        <v/>
      </c>
      <c r="H285" s="5" t="str">
        <f aca="false">IF(OR(BOM!$D291="",BOM!$R291="Cancelled"),"",IF(BOM!K291="","",BOM!K291))</f>
        <v/>
      </c>
      <c r="I285" s="5" t="str">
        <f aca="false">IF(OR(BOM!$D291="",BOM!$R291="Cancelled"),"",IF(BOM!M291="","",BOM!M291))</f>
        <v/>
      </c>
      <c r="J285" s="5" t="str">
        <f aca="false">IF(OR(BOM!$D291="",BOM!$R291="Cancelled"),"",IF(OR(BOM!R291="Received",BOM!R291="NSW Purchased"),"Received",IF(BOM!R291="Purchased – Not Received","Ordered",IF(BOM!R291="Finalized – Not Purchased","Design Released","In Design"))))</f>
        <v/>
      </c>
      <c r="K285" s="52" t="str">
        <f aca="false">IF(OR(BOM!$D291="",BOM!$R291="Cancelled"),"",IF(BOM!W291="","",BOM!W291))</f>
        <v/>
      </c>
    </row>
    <row r="286" customFormat="false" ht="15" hidden="false" customHeight="false" outlineLevel="0" collapsed="false">
      <c r="A286" s="5" t="str">
        <f aca="false">IF(OR(BOM!$D292="",BOM!$R292="Cancelled"),"",IF(BOM!A292="","",BOM!A292))</f>
        <v/>
      </c>
      <c r="B286" s="5" t="str">
        <f aca="false">IF(OR(BOM!$D292="",BOM!$R292="Cancelled"),"",IF(BOM!B292="","",BOM!B292))</f>
        <v/>
      </c>
      <c r="C286" s="5" t="str">
        <f aca="false">IF(OR(BOM!$D292="",BOM!$R292="Cancelled"),"",IF(BOM!C292="","",BOM!C292))</f>
        <v/>
      </c>
      <c r="D286" s="5" t="str">
        <f aca="false">IF(OR(BOM!$D292="",BOM!$R292="Cancelled"),"",IF(BOM!D292="","",BOM!D292))</f>
        <v/>
      </c>
      <c r="E286" s="5" t="str">
        <f aca="false">IF(OR(BOM!$D292="",BOM!$R292="Cancelled"),"",IF(BOM!E292="","",BOM!E292))</f>
        <v/>
      </c>
      <c r="F286" s="5" t="str">
        <f aca="false">IF(OR(BOM!$D292="",BOM!$R292="Cancelled"),"",IF(BOM!F292="","",BOM!F292))</f>
        <v/>
      </c>
      <c r="G286" s="5" t="str">
        <f aca="false">IF(OR(BOM!$D292="",BOM!$R292="Cancelled"),"",IF(BOM!J292="","",BOM!J292))</f>
        <v/>
      </c>
      <c r="H286" s="5" t="str">
        <f aca="false">IF(OR(BOM!$D292="",BOM!$R292="Cancelled"),"",IF(BOM!K292="","",BOM!K292))</f>
        <v/>
      </c>
      <c r="I286" s="5" t="str">
        <f aca="false">IF(OR(BOM!$D292="",BOM!$R292="Cancelled"),"",IF(BOM!M292="","",BOM!M292))</f>
        <v/>
      </c>
      <c r="J286" s="5" t="str">
        <f aca="false">IF(OR(BOM!$D292="",BOM!$R292="Cancelled"),"",IF(OR(BOM!R292="Received",BOM!R292="NSW Purchased"),"Received",IF(BOM!R292="Purchased – Not Received","Ordered",IF(BOM!R292="Finalized – Not Purchased","Design Released","In Design"))))</f>
        <v/>
      </c>
      <c r="K286" s="52" t="str">
        <f aca="false">IF(OR(BOM!$D292="",BOM!$R292="Cancelled"),"",IF(BOM!W292="","",BOM!W292))</f>
        <v/>
      </c>
    </row>
    <row r="287" customFormat="false" ht="15" hidden="false" customHeight="false" outlineLevel="0" collapsed="false">
      <c r="A287" s="5" t="str">
        <f aca="false">IF(OR(BOM!$D293="",BOM!$R293="Cancelled"),"",IF(BOM!A293="","",BOM!A293))</f>
        <v/>
      </c>
      <c r="B287" s="5" t="str">
        <f aca="false">IF(OR(BOM!$D293="",BOM!$R293="Cancelled"),"",IF(BOM!B293="","",BOM!B293))</f>
        <v/>
      </c>
      <c r="C287" s="5" t="str">
        <f aca="false">IF(OR(BOM!$D293="",BOM!$R293="Cancelled"),"",IF(BOM!C293="","",BOM!C293))</f>
        <v/>
      </c>
      <c r="D287" s="5" t="str">
        <f aca="false">IF(OR(BOM!$D293="",BOM!$R293="Cancelled"),"",IF(BOM!D293="","",BOM!D293))</f>
        <v/>
      </c>
      <c r="E287" s="5" t="str">
        <f aca="false">IF(OR(BOM!$D293="",BOM!$R293="Cancelled"),"",IF(BOM!E293="","",BOM!E293))</f>
        <v/>
      </c>
      <c r="F287" s="5" t="str">
        <f aca="false">IF(OR(BOM!$D293="",BOM!$R293="Cancelled"),"",IF(BOM!F293="","",BOM!F293))</f>
        <v/>
      </c>
      <c r="G287" s="5" t="str">
        <f aca="false">IF(OR(BOM!$D293="",BOM!$R293="Cancelled"),"",IF(BOM!J293="","",BOM!J293))</f>
        <v/>
      </c>
      <c r="H287" s="5" t="str">
        <f aca="false">IF(OR(BOM!$D293="",BOM!$R293="Cancelled"),"",IF(BOM!K293="","",BOM!K293))</f>
        <v/>
      </c>
      <c r="I287" s="5" t="str">
        <f aca="false">IF(OR(BOM!$D293="",BOM!$R293="Cancelled"),"",IF(BOM!M293="","",BOM!M293))</f>
        <v/>
      </c>
      <c r="J287" s="5" t="str">
        <f aca="false">IF(OR(BOM!$D293="",BOM!$R293="Cancelled"),"",IF(OR(BOM!R293="Received",BOM!R293="NSW Purchased"),"Received",IF(BOM!R293="Purchased – Not Received","Ordered",IF(BOM!R293="Finalized – Not Purchased","Design Released","In Design"))))</f>
        <v/>
      </c>
      <c r="K287" s="52" t="str">
        <f aca="false">IF(OR(BOM!$D293="",BOM!$R293="Cancelled"),"",IF(BOM!W293="","",BOM!W293))</f>
        <v/>
      </c>
    </row>
    <row r="288" customFormat="false" ht="15" hidden="false" customHeight="false" outlineLevel="0" collapsed="false">
      <c r="A288" s="5" t="str">
        <f aca="false">IF(OR(BOM!$D294="",BOM!$R294="Cancelled"),"",IF(BOM!A294="","",BOM!A294))</f>
        <v/>
      </c>
      <c r="B288" s="5" t="str">
        <f aca="false">IF(OR(BOM!$D294="",BOM!$R294="Cancelled"),"",IF(BOM!B294="","",BOM!B294))</f>
        <v/>
      </c>
      <c r="C288" s="5" t="str">
        <f aca="false">IF(OR(BOM!$D294="",BOM!$R294="Cancelled"),"",IF(BOM!C294="","",BOM!C294))</f>
        <v/>
      </c>
      <c r="D288" s="5" t="str">
        <f aca="false">IF(OR(BOM!$D294="",BOM!$R294="Cancelled"),"",IF(BOM!D294="","",BOM!D294))</f>
        <v/>
      </c>
      <c r="E288" s="5" t="str">
        <f aca="false">IF(OR(BOM!$D294="",BOM!$R294="Cancelled"),"",IF(BOM!E294="","",BOM!E294))</f>
        <v/>
      </c>
      <c r="F288" s="5" t="str">
        <f aca="false">IF(OR(BOM!$D294="",BOM!$R294="Cancelled"),"",IF(BOM!F294="","",BOM!F294))</f>
        <v/>
      </c>
      <c r="G288" s="5" t="str">
        <f aca="false">IF(OR(BOM!$D294="",BOM!$R294="Cancelled"),"",IF(BOM!J294="","",BOM!J294))</f>
        <v/>
      </c>
      <c r="H288" s="5" t="str">
        <f aca="false">IF(OR(BOM!$D294="",BOM!$R294="Cancelled"),"",IF(BOM!K294="","",BOM!K294))</f>
        <v/>
      </c>
      <c r="I288" s="5" t="str">
        <f aca="false">IF(OR(BOM!$D294="",BOM!$R294="Cancelled"),"",IF(BOM!M294="","",BOM!M294))</f>
        <v/>
      </c>
      <c r="J288" s="5" t="str">
        <f aca="false">IF(OR(BOM!$D294="",BOM!$R294="Cancelled"),"",IF(OR(BOM!R294="Received",BOM!R294="NSW Purchased"),"Received",IF(BOM!R294="Purchased – Not Received","Ordered",IF(BOM!R294="Finalized – Not Purchased","Design Released","In Design"))))</f>
        <v/>
      </c>
      <c r="K288" s="52" t="str">
        <f aca="false">IF(OR(BOM!$D294="",BOM!$R294="Cancelled"),"",IF(BOM!W294="","",BOM!W294))</f>
        <v/>
      </c>
    </row>
    <row r="289" customFormat="false" ht="15" hidden="false" customHeight="false" outlineLevel="0" collapsed="false">
      <c r="A289" s="5" t="str">
        <f aca="false">IF(OR(BOM!$D295="",BOM!$R295="Cancelled"),"",IF(BOM!A295="","",BOM!A295))</f>
        <v/>
      </c>
      <c r="B289" s="5" t="str">
        <f aca="false">IF(OR(BOM!$D295="",BOM!$R295="Cancelled"),"",IF(BOM!B295="","",BOM!B295))</f>
        <v/>
      </c>
      <c r="C289" s="5" t="str">
        <f aca="false">IF(OR(BOM!$D295="",BOM!$R295="Cancelled"),"",IF(BOM!C295="","",BOM!C295))</f>
        <v/>
      </c>
      <c r="D289" s="5" t="str">
        <f aca="false">IF(OR(BOM!$D295="",BOM!$R295="Cancelled"),"",IF(BOM!D295="","",BOM!D295))</f>
        <v/>
      </c>
      <c r="E289" s="5" t="str">
        <f aca="false">IF(OR(BOM!$D295="",BOM!$R295="Cancelled"),"",IF(BOM!E295="","",BOM!E295))</f>
        <v/>
      </c>
      <c r="F289" s="5" t="str">
        <f aca="false">IF(OR(BOM!$D295="",BOM!$R295="Cancelled"),"",IF(BOM!F295="","",BOM!F295))</f>
        <v/>
      </c>
      <c r="G289" s="5" t="str">
        <f aca="false">IF(OR(BOM!$D295="",BOM!$R295="Cancelled"),"",IF(BOM!J295="","",BOM!J295))</f>
        <v/>
      </c>
      <c r="H289" s="5" t="str">
        <f aca="false">IF(OR(BOM!$D295="",BOM!$R295="Cancelled"),"",IF(BOM!K295="","",BOM!K295))</f>
        <v/>
      </c>
      <c r="I289" s="5" t="str">
        <f aca="false">IF(OR(BOM!$D295="",BOM!$R295="Cancelled"),"",IF(BOM!M295="","",BOM!M295))</f>
        <v/>
      </c>
      <c r="J289" s="5" t="str">
        <f aca="false">IF(OR(BOM!$D295="",BOM!$R295="Cancelled"),"",IF(OR(BOM!R295="Received",BOM!R295="NSW Purchased"),"Received",IF(BOM!R295="Purchased – Not Received","Ordered",IF(BOM!R295="Finalized – Not Purchased","Design Released","In Design"))))</f>
        <v/>
      </c>
      <c r="K289" s="52" t="str">
        <f aca="false">IF(OR(BOM!$D295="",BOM!$R295="Cancelled"),"",IF(BOM!W295="","",BOM!W295))</f>
        <v/>
      </c>
    </row>
    <row r="290" customFormat="false" ht="15" hidden="false" customHeight="false" outlineLevel="0" collapsed="false">
      <c r="A290" s="5" t="str">
        <f aca="false">IF(OR(BOM!$D296="",BOM!$R296="Cancelled"),"",IF(BOM!A296="","",BOM!A296))</f>
        <v/>
      </c>
      <c r="B290" s="5" t="str">
        <f aca="false">IF(OR(BOM!$D296="",BOM!$R296="Cancelled"),"",IF(BOM!B296="","",BOM!B296))</f>
        <v/>
      </c>
      <c r="C290" s="5" t="str">
        <f aca="false">IF(OR(BOM!$D296="",BOM!$R296="Cancelled"),"",IF(BOM!C296="","",BOM!C296))</f>
        <v/>
      </c>
      <c r="D290" s="5" t="str">
        <f aca="false">IF(OR(BOM!$D296="",BOM!$R296="Cancelled"),"",IF(BOM!D296="","",BOM!D296))</f>
        <v/>
      </c>
      <c r="E290" s="5" t="str">
        <f aca="false">IF(OR(BOM!$D296="",BOM!$R296="Cancelled"),"",IF(BOM!E296="","",BOM!E296))</f>
        <v/>
      </c>
      <c r="F290" s="5" t="str">
        <f aca="false">IF(OR(BOM!$D296="",BOM!$R296="Cancelled"),"",IF(BOM!F296="","",BOM!F296))</f>
        <v/>
      </c>
      <c r="G290" s="5" t="str">
        <f aca="false">IF(OR(BOM!$D296="",BOM!$R296="Cancelled"),"",IF(BOM!J296="","",BOM!J296))</f>
        <v/>
      </c>
      <c r="H290" s="5" t="str">
        <f aca="false">IF(OR(BOM!$D296="",BOM!$R296="Cancelled"),"",IF(BOM!K296="","",BOM!K296))</f>
        <v/>
      </c>
      <c r="I290" s="5" t="str">
        <f aca="false">IF(OR(BOM!$D296="",BOM!$R296="Cancelled"),"",IF(BOM!M296="","",BOM!M296))</f>
        <v/>
      </c>
      <c r="J290" s="5" t="str">
        <f aca="false">IF(OR(BOM!$D296="",BOM!$R296="Cancelled"),"",IF(OR(BOM!R296="Received",BOM!R296="NSW Purchased"),"Received",IF(BOM!R296="Purchased – Not Received","Ordered",IF(BOM!R296="Finalized – Not Purchased","Design Released","In Design"))))</f>
        <v/>
      </c>
      <c r="K290" s="52" t="str">
        <f aca="false">IF(OR(BOM!$D296="",BOM!$R296="Cancelled"),"",IF(BOM!W296="","",BOM!W296))</f>
        <v/>
      </c>
    </row>
    <row r="291" customFormat="false" ht="15" hidden="false" customHeight="false" outlineLevel="0" collapsed="false">
      <c r="A291" s="5" t="str">
        <f aca="false">IF(OR(BOM!$D297="",BOM!$R297="Cancelled"),"",IF(BOM!A297="","",BOM!A297))</f>
        <v/>
      </c>
      <c r="B291" s="5" t="str">
        <f aca="false">IF(OR(BOM!$D297="",BOM!$R297="Cancelled"),"",IF(BOM!B297="","",BOM!B297))</f>
        <v/>
      </c>
      <c r="C291" s="5" t="str">
        <f aca="false">IF(OR(BOM!$D297="",BOM!$R297="Cancelled"),"",IF(BOM!C297="","",BOM!C297))</f>
        <v/>
      </c>
      <c r="D291" s="5" t="str">
        <f aca="false">IF(OR(BOM!$D297="",BOM!$R297="Cancelled"),"",IF(BOM!D297="","",BOM!D297))</f>
        <v/>
      </c>
      <c r="E291" s="5" t="str">
        <f aca="false">IF(OR(BOM!$D297="",BOM!$R297="Cancelled"),"",IF(BOM!E297="","",BOM!E297))</f>
        <v/>
      </c>
      <c r="F291" s="5" t="str">
        <f aca="false">IF(OR(BOM!$D297="",BOM!$R297="Cancelled"),"",IF(BOM!F297="","",BOM!F297))</f>
        <v/>
      </c>
      <c r="G291" s="5" t="str">
        <f aca="false">IF(OR(BOM!$D297="",BOM!$R297="Cancelled"),"",IF(BOM!J297="","",BOM!J297))</f>
        <v/>
      </c>
      <c r="H291" s="5" t="str">
        <f aca="false">IF(OR(BOM!$D297="",BOM!$R297="Cancelled"),"",IF(BOM!K297="","",BOM!K297))</f>
        <v/>
      </c>
      <c r="I291" s="5" t="str">
        <f aca="false">IF(OR(BOM!$D297="",BOM!$R297="Cancelled"),"",IF(BOM!M297="","",BOM!M297))</f>
        <v/>
      </c>
      <c r="J291" s="5" t="str">
        <f aca="false">IF(OR(BOM!$D297="",BOM!$R297="Cancelled"),"",IF(OR(BOM!R297="Received",BOM!R297="NSW Purchased"),"Received",IF(BOM!R297="Purchased – Not Received","Ordered",IF(BOM!R297="Finalized – Not Purchased","Design Released","In Design"))))</f>
        <v/>
      </c>
      <c r="K291" s="52" t="str">
        <f aca="false">IF(OR(BOM!$D297="",BOM!$R297="Cancelled"),"",IF(BOM!W297="","",BOM!W297))</f>
        <v/>
      </c>
    </row>
    <row r="292" customFormat="false" ht="15" hidden="false" customHeight="false" outlineLevel="0" collapsed="false">
      <c r="A292" s="5" t="str">
        <f aca="false">IF(OR(BOM!$D298="",BOM!$R298="Cancelled"),"",IF(BOM!A298="","",BOM!A298))</f>
        <v/>
      </c>
      <c r="B292" s="5" t="str">
        <f aca="false">IF(OR(BOM!$D298="",BOM!$R298="Cancelled"),"",IF(BOM!B298="","",BOM!B298))</f>
        <v/>
      </c>
      <c r="C292" s="5" t="str">
        <f aca="false">IF(OR(BOM!$D298="",BOM!$R298="Cancelled"),"",IF(BOM!C298="","",BOM!C298))</f>
        <v/>
      </c>
      <c r="D292" s="5" t="str">
        <f aca="false">IF(OR(BOM!$D298="",BOM!$R298="Cancelled"),"",IF(BOM!D298="","",BOM!D298))</f>
        <v/>
      </c>
      <c r="E292" s="5" t="str">
        <f aca="false">IF(OR(BOM!$D298="",BOM!$R298="Cancelled"),"",IF(BOM!E298="","",BOM!E298))</f>
        <v/>
      </c>
      <c r="F292" s="5" t="str">
        <f aca="false">IF(OR(BOM!$D298="",BOM!$R298="Cancelled"),"",IF(BOM!F298="","",BOM!F298))</f>
        <v/>
      </c>
      <c r="G292" s="5" t="str">
        <f aca="false">IF(OR(BOM!$D298="",BOM!$R298="Cancelled"),"",IF(BOM!J298="","",BOM!J298))</f>
        <v/>
      </c>
      <c r="H292" s="5" t="str">
        <f aca="false">IF(OR(BOM!$D298="",BOM!$R298="Cancelled"),"",IF(BOM!K298="","",BOM!K298))</f>
        <v/>
      </c>
      <c r="I292" s="5" t="str">
        <f aca="false">IF(OR(BOM!$D298="",BOM!$R298="Cancelled"),"",IF(BOM!M298="","",BOM!M298))</f>
        <v/>
      </c>
      <c r="J292" s="5" t="str">
        <f aca="false">IF(OR(BOM!$D298="",BOM!$R298="Cancelled"),"",IF(OR(BOM!R298="Received",BOM!R298="NSW Purchased"),"Received",IF(BOM!R298="Purchased – Not Received","Ordered",IF(BOM!R298="Finalized – Not Purchased","Design Released","In Design"))))</f>
        <v/>
      </c>
      <c r="K292" s="52" t="str">
        <f aca="false">IF(OR(BOM!$D298="",BOM!$R298="Cancelled"),"",IF(BOM!W298="","",BOM!W298))</f>
        <v/>
      </c>
    </row>
    <row r="293" customFormat="false" ht="15" hidden="false" customHeight="false" outlineLevel="0" collapsed="false">
      <c r="A293" s="5" t="str">
        <f aca="false">IF(OR(BOM!$D299="",BOM!$R299="Cancelled"),"",IF(BOM!A299="","",BOM!A299))</f>
        <v/>
      </c>
      <c r="B293" s="5" t="str">
        <f aca="false">IF(OR(BOM!$D299="",BOM!$R299="Cancelled"),"",IF(BOM!B299="","",BOM!B299))</f>
        <v/>
      </c>
      <c r="C293" s="5" t="str">
        <f aca="false">IF(OR(BOM!$D299="",BOM!$R299="Cancelled"),"",IF(BOM!C299="","",BOM!C299))</f>
        <v/>
      </c>
      <c r="D293" s="5" t="str">
        <f aca="false">IF(OR(BOM!$D299="",BOM!$R299="Cancelled"),"",IF(BOM!D299="","",BOM!D299))</f>
        <v/>
      </c>
      <c r="E293" s="5" t="str">
        <f aca="false">IF(OR(BOM!$D299="",BOM!$R299="Cancelled"),"",IF(BOM!E299="","",BOM!E299))</f>
        <v/>
      </c>
      <c r="F293" s="5" t="str">
        <f aca="false">IF(OR(BOM!$D299="",BOM!$R299="Cancelled"),"",IF(BOM!F299="","",BOM!F299))</f>
        <v/>
      </c>
      <c r="G293" s="5" t="str">
        <f aca="false">IF(OR(BOM!$D299="",BOM!$R299="Cancelled"),"",IF(BOM!J299="","",BOM!J299))</f>
        <v/>
      </c>
      <c r="H293" s="5" t="str">
        <f aca="false">IF(OR(BOM!$D299="",BOM!$R299="Cancelled"),"",IF(BOM!K299="","",BOM!K299))</f>
        <v/>
      </c>
      <c r="I293" s="5" t="str">
        <f aca="false">IF(OR(BOM!$D299="",BOM!$R299="Cancelled"),"",IF(BOM!M299="","",BOM!M299))</f>
        <v/>
      </c>
      <c r="J293" s="5" t="str">
        <f aca="false">IF(OR(BOM!$D299="",BOM!$R299="Cancelled"),"",IF(OR(BOM!R299="Received",BOM!R299="NSW Purchased"),"Received",IF(BOM!R299="Purchased – Not Received","Ordered",IF(BOM!R299="Finalized – Not Purchased","Design Released","In Design"))))</f>
        <v/>
      </c>
      <c r="K293" s="52" t="str">
        <f aca="false">IF(OR(BOM!$D299="",BOM!$R299="Cancelled"),"",IF(BOM!W299="","",BOM!W299))</f>
        <v/>
      </c>
    </row>
    <row r="294" customFormat="false" ht="15" hidden="false" customHeight="false" outlineLevel="0" collapsed="false">
      <c r="A294" s="5" t="str">
        <f aca="false">IF(OR(BOM!$D300="",BOM!$R300="Cancelled"),"",IF(BOM!A300="","",BOM!A300))</f>
        <v/>
      </c>
      <c r="B294" s="5" t="str">
        <f aca="false">IF(OR(BOM!$D300="",BOM!$R300="Cancelled"),"",IF(BOM!B300="","",BOM!B300))</f>
        <v/>
      </c>
      <c r="C294" s="5" t="str">
        <f aca="false">IF(OR(BOM!$D300="",BOM!$R300="Cancelled"),"",IF(BOM!C300="","",BOM!C300))</f>
        <v/>
      </c>
      <c r="D294" s="5" t="str">
        <f aca="false">IF(OR(BOM!$D300="",BOM!$R300="Cancelled"),"",IF(BOM!D300="","",BOM!D300))</f>
        <v/>
      </c>
      <c r="E294" s="5" t="str">
        <f aca="false">IF(OR(BOM!$D300="",BOM!$R300="Cancelled"),"",IF(BOM!E300="","",BOM!E300))</f>
        <v/>
      </c>
      <c r="F294" s="5" t="str">
        <f aca="false">IF(OR(BOM!$D300="",BOM!$R300="Cancelled"),"",IF(BOM!F300="","",BOM!F300))</f>
        <v/>
      </c>
      <c r="G294" s="5" t="str">
        <f aca="false">IF(OR(BOM!$D300="",BOM!$R300="Cancelled"),"",IF(BOM!J300="","",BOM!J300))</f>
        <v/>
      </c>
      <c r="H294" s="5" t="str">
        <f aca="false">IF(OR(BOM!$D300="",BOM!$R300="Cancelled"),"",IF(BOM!K300="","",BOM!K300))</f>
        <v/>
      </c>
      <c r="I294" s="5" t="str">
        <f aca="false">IF(OR(BOM!$D300="",BOM!$R300="Cancelled"),"",IF(BOM!M300="","",BOM!M300))</f>
        <v/>
      </c>
      <c r="J294" s="5" t="str">
        <f aca="false">IF(OR(BOM!$D300="",BOM!$R300="Cancelled"),"",IF(OR(BOM!R300="Received",BOM!R300="NSW Purchased"),"Received",IF(BOM!R300="Purchased – Not Received","Ordered",IF(BOM!R300="Finalized – Not Purchased","Design Released","In Design"))))</f>
        <v/>
      </c>
      <c r="K294" s="52" t="str">
        <f aca="false">IF(OR(BOM!$D300="",BOM!$R300="Cancelled"),"",IF(BOM!W300="","",BOM!W300))</f>
        <v/>
      </c>
    </row>
    <row r="295" customFormat="false" ht="15" hidden="false" customHeight="false" outlineLevel="0" collapsed="false">
      <c r="A295" s="5" t="str">
        <f aca="false">IF(OR(BOM!$D301="",BOM!$R301="Cancelled"),"",IF(BOM!A301="","",BOM!A301))</f>
        <v/>
      </c>
      <c r="B295" s="5" t="str">
        <f aca="false">IF(OR(BOM!$D301="",BOM!$R301="Cancelled"),"",IF(BOM!B301="","",BOM!B301))</f>
        <v/>
      </c>
      <c r="C295" s="5" t="str">
        <f aca="false">IF(OR(BOM!$D301="",BOM!$R301="Cancelled"),"",IF(BOM!C301="","",BOM!C301))</f>
        <v/>
      </c>
      <c r="D295" s="5" t="str">
        <f aca="false">IF(OR(BOM!$D301="",BOM!$R301="Cancelled"),"",IF(BOM!D301="","",BOM!D301))</f>
        <v/>
      </c>
      <c r="E295" s="5" t="str">
        <f aca="false">IF(OR(BOM!$D301="",BOM!$R301="Cancelled"),"",IF(BOM!E301="","",BOM!E301))</f>
        <v/>
      </c>
      <c r="F295" s="5" t="str">
        <f aca="false">IF(OR(BOM!$D301="",BOM!$R301="Cancelled"),"",IF(BOM!F301="","",BOM!F301))</f>
        <v/>
      </c>
      <c r="G295" s="5" t="str">
        <f aca="false">IF(OR(BOM!$D301="",BOM!$R301="Cancelled"),"",IF(BOM!J301="","",BOM!J301))</f>
        <v/>
      </c>
      <c r="H295" s="5" t="str">
        <f aca="false">IF(OR(BOM!$D301="",BOM!$R301="Cancelled"),"",IF(BOM!K301="","",BOM!K301))</f>
        <v/>
      </c>
      <c r="I295" s="5" t="str">
        <f aca="false">IF(OR(BOM!$D301="",BOM!$R301="Cancelled"),"",IF(BOM!M301="","",BOM!M301))</f>
        <v/>
      </c>
      <c r="J295" s="5" t="str">
        <f aca="false">IF(OR(BOM!$D301="",BOM!$R301="Cancelled"),"",IF(OR(BOM!R301="Received",BOM!R301="NSW Purchased"),"Received",IF(BOM!R301="Purchased – Not Received","Ordered",IF(BOM!R301="Finalized – Not Purchased","Design Released","In Design"))))</f>
        <v/>
      </c>
      <c r="K295" s="52" t="str">
        <f aca="false">IF(OR(BOM!$D301="",BOM!$R301="Cancelled"),"",IF(BOM!W301="","",BOM!W301))</f>
        <v/>
      </c>
    </row>
    <row r="296" customFormat="false" ht="15" hidden="false" customHeight="false" outlineLevel="0" collapsed="false">
      <c r="A296" s="5" t="str">
        <f aca="false">IF(OR(BOM!$D302="",BOM!$R302="Cancelled"),"",IF(BOM!A302="","",BOM!A302))</f>
        <v/>
      </c>
      <c r="B296" s="5" t="str">
        <f aca="false">IF(OR(BOM!$D302="",BOM!$R302="Cancelled"),"",IF(BOM!B302="","",BOM!B302))</f>
        <v/>
      </c>
      <c r="C296" s="5" t="str">
        <f aca="false">IF(OR(BOM!$D302="",BOM!$R302="Cancelled"),"",IF(BOM!C302="","",BOM!C302))</f>
        <v/>
      </c>
      <c r="D296" s="5" t="str">
        <f aca="false">IF(OR(BOM!$D302="",BOM!$R302="Cancelled"),"",IF(BOM!D302="","",BOM!D302))</f>
        <v/>
      </c>
      <c r="E296" s="5" t="str">
        <f aca="false">IF(OR(BOM!$D302="",BOM!$R302="Cancelled"),"",IF(BOM!E302="","",BOM!E302))</f>
        <v/>
      </c>
      <c r="F296" s="5" t="str">
        <f aca="false">IF(OR(BOM!$D302="",BOM!$R302="Cancelled"),"",IF(BOM!F302="","",BOM!F302))</f>
        <v/>
      </c>
      <c r="G296" s="5" t="str">
        <f aca="false">IF(OR(BOM!$D302="",BOM!$R302="Cancelled"),"",IF(BOM!J302="","",BOM!J302))</f>
        <v/>
      </c>
      <c r="H296" s="5" t="str">
        <f aca="false">IF(OR(BOM!$D302="",BOM!$R302="Cancelled"),"",IF(BOM!K302="","",BOM!K302))</f>
        <v/>
      </c>
      <c r="I296" s="5" t="str">
        <f aca="false">IF(OR(BOM!$D302="",BOM!$R302="Cancelled"),"",IF(BOM!M302="","",BOM!M302))</f>
        <v/>
      </c>
      <c r="J296" s="5" t="str">
        <f aca="false">IF(OR(BOM!$D302="",BOM!$R302="Cancelled"),"",IF(OR(BOM!R302="Received",BOM!R302="NSW Purchased"),"Received",IF(BOM!R302="Purchased – Not Received","Ordered",IF(BOM!R302="Finalized – Not Purchased","Design Released","In Design"))))</f>
        <v/>
      </c>
      <c r="K296" s="52" t="str">
        <f aca="false">IF(OR(BOM!$D302="",BOM!$R302="Cancelled"),"",IF(BOM!W302="","",BOM!W302))</f>
        <v/>
      </c>
    </row>
    <row r="297" customFormat="false" ht="15" hidden="false" customHeight="false" outlineLevel="0" collapsed="false">
      <c r="A297" s="5" t="str">
        <f aca="false">IF(OR(BOM!$D303="",BOM!$R303="Cancelled"),"",IF(BOM!A303="","",BOM!A303))</f>
        <v/>
      </c>
      <c r="B297" s="5" t="str">
        <f aca="false">IF(OR(BOM!$D303="",BOM!$R303="Cancelled"),"",IF(BOM!B303="","",BOM!B303))</f>
        <v/>
      </c>
      <c r="C297" s="5" t="str">
        <f aca="false">IF(OR(BOM!$D303="",BOM!$R303="Cancelled"),"",IF(BOM!C303="","",BOM!C303))</f>
        <v/>
      </c>
      <c r="D297" s="5" t="str">
        <f aca="false">IF(OR(BOM!$D303="",BOM!$R303="Cancelled"),"",IF(BOM!D303="","",BOM!D303))</f>
        <v/>
      </c>
      <c r="E297" s="5" t="str">
        <f aca="false">IF(OR(BOM!$D303="",BOM!$R303="Cancelled"),"",IF(BOM!E303="","",BOM!E303))</f>
        <v/>
      </c>
      <c r="F297" s="5" t="str">
        <f aca="false">IF(OR(BOM!$D303="",BOM!$R303="Cancelled"),"",IF(BOM!F303="","",BOM!F303))</f>
        <v/>
      </c>
      <c r="G297" s="5" t="str">
        <f aca="false">IF(OR(BOM!$D303="",BOM!$R303="Cancelled"),"",IF(BOM!J303="","",BOM!J303))</f>
        <v/>
      </c>
      <c r="H297" s="5" t="str">
        <f aca="false">IF(OR(BOM!$D303="",BOM!$R303="Cancelled"),"",IF(BOM!K303="","",BOM!K303))</f>
        <v/>
      </c>
      <c r="I297" s="5" t="str">
        <f aca="false">IF(OR(BOM!$D303="",BOM!$R303="Cancelled"),"",IF(BOM!M303="","",BOM!M303))</f>
        <v/>
      </c>
      <c r="J297" s="5" t="str">
        <f aca="false">IF(OR(BOM!$D303="",BOM!$R303="Cancelled"),"",IF(OR(BOM!R303="Received",BOM!R303="NSW Purchased"),"Received",IF(BOM!R303="Purchased – Not Received","Ordered",IF(BOM!R303="Finalized – Not Purchased","Design Released","In Design"))))</f>
        <v/>
      </c>
      <c r="K297" s="52" t="str">
        <f aca="false">IF(OR(BOM!$D303="",BOM!$R303="Cancelled"),"",IF(BOM!W303="","",BOM!W303))</f>
        <v/>
      </c>
    </row>
    <row r="298" customFormat="false" ht="15" hidden="false" customHeight="false" outlineLevel="0" collapsed="false">
      <c r="A298" s="5" t="str">
        <f aca="false">IF(OR(BOM!$D304="",BOM!$R304="Cancelled"),"",IF(BOM!A304="","",BOM!A304))</f>
        <v/>
      </c>
      <c r="B298" s="5" t="str">
        <f aca="false">IF(OR(BOM!$D304="",BOM!$R304="Cancelled"),"",IF(BOM!B304="","",BOM!B304))</f>
        <v/>
      </c>
      <c r="C298" s="5" t="str">
        <f aca="false">IF(OR(BOM!$D304="",BOM!$R304="Cancelled"),"",IF(BOM!C304="","",BOM!C304))</f>
        <v/>
      </c>
      <c r="D298" s="5" t="str">
        <f aca="false">IF(OR(BOM!$D304="",BOM!$R304="Cancelled"),"",IF(BOM!D304="","",BOM!D304))</f>
        <v/>
      </c>
      <c r="E298" s="5" t="str">
        <f aca="false">IF(OR(BOM!$D304="",BOM!$R304="Cancelled"),"",IF(BOM!E304="","",BOM!E304))</f>
        <v/>
      </c>
      <c r="F298" s="5" t="str">
        <f aca="false">IF(OR(BOM!$D304="",BOM!$R304="Cancelled"),"",IF(BOM!F304="","",BOM!F304))</f>
        <v/>
      </c>
      <c r="G298" s="5" t="str">
        <f aca="false">IF(OR(BOM!$D304="",BOM!$R304="Cancelled"),"",IF(BOM!J304="","",BOM!J304))</f>
        <v/>
      </c>
      <c r="H298" s="5" t="str">
        <f aca="false">IF(OR(BOM!$D304="",BOM!$R304="Cancelled"),"",IF(BOM!K304="","",BOM!K304))</f>
        <v/>
      </c>
      <c r="I298" s="5" t="str">
        <f aca="false">IF(OR(BOM!$D304="",BOM!$R304="Cancelled"),"",IF(BOM!M304="","",BOM!M304))</f>
        <v/>
      </c>
      <c r="J298" s="5" t="str">
        <f aca="false">IF(OR(BOM!$D304="",BOM!$R304="Cancelled"),"",IF(OR(BOM!R304="Received",BOM!R304="NSW Purchased"),"Received",IF(BOM!R304="Purchased – Not Received","Ordered",IF(BOM!R304="Finalized – Not Purchased","Design Released","In Design"))))</f>
        <v/>
      </c>
      <c r="K298" s="52" t="str">
        <f aca="false">IF(OR(BOM!$D304="",BOM!$R304="Cancelled"),"",IF(BOM!W304="","",BOM!W304))</f>
        <v/>
      </c>
    </row>
    <row r="299" customFormat="false" ht="15" hidden="false" customHeight="false" outlineLevel="0" collapsed="false">
      <c r="A299" s="5" t="str">
        <f aca="false">IF(OR(BOM!$D305="",BOM!$R305="Cancelled"),"",IF(BOM!A305="","",BOM!A305))</f>
        <v/>
      </c>
      <c r="B299" s="5" t="str">
        <f aca="false">IF(OR(BOM!$D305="",BOM!$R305="Cancelled"),"",IF(BOM!B305="","",BOM!B305))</f>
        <v/>
      </c>
      <c r="C299" s="5" t="str">
        <f aca="false">IF(OR(BOM!$D305="",BOM!$R305="Cancelled"),"",IF(BOM!C305="","",BOM!C305))</f>
        <v/>
      </c>
      <c r="D299" s="5" t="str">
        <f aca="false">IF(OR(BOM!$D305="",BOM!$R305="Cancelled"),"",IF(BOM!D305="","",BOM!D305))</f>
        <v/>
      </c>
      <c r="E299" s="5" t="str">
        <f aca="false">IF(OR(BOM!$D305="",BOM!$R305="Cancelled"),"",IF(BOM!E305="","",BOM!E305))</f>
        <v/>
      </c>
      <c r="F299" s="5" t="str">
        <f aca="false">IF(OR(BOM!$D305="",BOM!$R305="Cancelled"),"",IF(BOM!F305="","",BOM!F305))</f>
        <v/>
      </c>
      <c r="G299" s="5" t="str">
        <f aca="false">IF(OR(BOM!$D305="",BOM!$R305="Cancelled"),"",IF(BOM!J305="","",BOM!J305))</f>
        <v/>
      </c>
      <c r="H299" s="5" t="str">
        <f aca="false">IF(OR(BOM!$D305="",BOM!$R305="Cancelled"),"",IF(BOM!K305="","",BOM!K305))</f>
        <v/>
      </c>
      <c r="I299" s="5" t="str">
        <f aca="false">IF(OR(BOM!$D305="",BOM!$R305="Cancelled"),"",IF(BOM!M305="","",BOM!M305))</f>
        <v/>
      </c>
      <c r="J299" s="5" t="str">
        <f aca="false">IF(OR(BOM!$D305="",BOM!$R305="Cancelled"),"",IF(OR(BOM!R305="Received",BOM!R305="NSW Purchased"),"Received",IF(BOM!R305="Purchased – Not Received","Ordered",IF(BOM!R305="Finalized – Not Purchased","Design Released","In Design"))))</f>
        <v/>
      </c>
      <c r="K299" s="52" t="str">
        <f aca="false">IF(OR(BOM!$D305="",BOM!$R305="Cancelled"),"",IF(BOM!W305="","",BOM!W305))</f>
        <v/>
      </c>
    </row>
    <row r="300" customFormat="false" ht="15" hidden="false" customHeight="false" outlineLevel="0" collapsed="false">
      <c r="A300" s="5" t="str">
        <f aca="false">IF(OR(BOM!$D306="",BOM!$R306="Cancelled"),"",IF(BOM!A306="","",BOM!A306))</f>
        <v/>
      </c>
      <c r="B300" s="5" t="str">
        <f aca="false">IF(OR(BOM!$D306="",BOM!$R306="Cancelled"),"",IF(BOM!B306="","",BOM!B306))</f>
        <v/>
      </c>
      <c r="C300" s="5" t="str">
        <f aca="false">IF(OR(BOM!$D306="",BOM!$R306="Cancelled"),"",IF(BOM!C306="","",BOM!C306))</f>
        <v/>
      </c>
      <c r="D300" s="5" t="str">
        <f aca="false">IF(OR(BOM!$D306="",BOM!$R306="Cancelled"),"",IF(BOM!D306="","",BOM!D306))</f>
        <v/>
      </c>
      <c r="E300" s="5" t="str">
        <f aca="false">IF(OR(BOM!$D306="",BOM!$R306="Cancelled"),"",IF(BOM!E306="","",BOM!E306))</f>
        <v/>
      </c>
      <c r="F300" s="5" t="str">
        <f aca="false">IF(OR(BOM!$D306="",BOM!$R306="Cancelled"),"",IF(BOM!F306="","",BOM!F306))</f>
        <v/>
      </c>
      <c r="G300" s="5" t="str">
        <f aca="false">IF(OR(BOM!$D306="",BOM!$R306="Cancelled"),"",IF(BOM!J306="","",BOM!J306))</f>
        <v/>
      </c>
      <c r="H300" s="5" t="str">
        <f aca="false">IF(OR(BOM!$D306="",BOM!$R306="Cancelled"),"",IF(BOM!K306="","",BOM!K306))</f>
        <v/>
      </c>
      <c r="I300" s="5" t="str">
        <f aca="false">IF(OR(BOM!$D306="",BOM!$R306="Cancelled"),"",IF(BOM!M306="","",BOM!M306))</f>
        <v/>
      </c>
      <c r="J300" s="5" t="str">
        <f aca="false">IF(OR(BOM!$D306="",BOM!$R306="Cancelled"),"",IF(OR(BOM!R306="Received",BOM!R306="NSW Purchased"),"Received",IF(BOM!R306="Purchased – Not Received","Ordered",IF(BOM!R306="Finalized – Not Purchased","Design Released","In Design"))))</f>
        <v/>
      </c>
      <c r="K300" s="52" t="str">
        <f aca="false">IF(OR(BOM!$D306="",BOM!$R306="Cancelled"),"",IF(BOM!W306="","",BOM!W306))</f>
        <v/>
      </c>
    </row>
    <row r="301" customFormat="false" ht="15" hidden="false" customHeight="false" outlineLevel="0" collapsed="false">
      <c r="A301" s="5" t="str">
        <f aca="false">IF(OR(BOM!$D307="",BOM!$R307="Cancelled"),"",IF(BOM!A307="","",BOM!A307))</f>
        <v/>
      </c>
      <c r="B301" s="5" t="str">
        <f aca="false">IF(OR(BOM!$D307="",BOM!$R307="Cancelled"),"",IF(BOM!B307="","",BOM!B307))</f>
        <v/>
      </c>
      <c r="C301" s="5" t="str">
        <f aca="false">IF(OR(BOM!$D307="",BOM!$R307="Cancelled"),"",IF(BOM!C307="","",BOM!C307))</f>
        <v/>
      </c>
      <c r="D301" s="5" t="str">
        <f aca="false">IF(OR(BOM!$D307="",BOM!$R307="Cancelled"),"",IF(BOM!D307="","",BOM!D307))</f>
        <v/>
      </c>
      <c r="E301" s="5" t="str">
        <f aca="false">IF(OR(BOM!$D307="",BOM!$R307="Cancelled"),"",IF(BOM!E307="","",BOM!E307))</f>
        <v/>
      </c>
      <c r="F301" s="5" t="str">
        <f aca="false">IF(OR(BOM!$D307="",BOM!$R307="Cancelled"),"",IF(BOM!F307="","",BOM!F307))</f>
        <v/>
      </c>
      <c r="G301" s="5" t="str">
        <f aca="false">IF(OR(BOM!$D307="",BOM!$R307="Cancelled"),"",IF(BOM!J307="","",BOM!J307))</f>
        <v/>
      </c>
      <c r="H301" s="5" t="str">
        <f aca="false">IF(OR(BOM!$D307="",BOM!$R307="Cancelled"),"",IF(BOM!K307="","",BOM!K307))</f>
        <v/>
      </c>
      <c r="I301" s="5" t="str">
        <f aca="false">IF(OR(BOM!$D307="",BOM!$R307="Cancelled"),"",IF(BOM!M307="","",BOM!M307))</f>
        <v/>
      </c>
      <c r="J301" s="5" t="str">
        <f aca="false">IF(OR(BOM!$D307="",BOM!$R307="Cancelled"),"",IF(OR(BOM!R307="Received",BOM!R307="NSW Purchased"),"Received",IF(BOM!R307="Purchased – Not Received","Ordered",IF(BOM!R307="Finalized – Not Purchased","Design Released","In Design"))))</f>
        <v/>
      </c>
      <c r="K301" s="52" t="str">
        <f aca="false">IF(OR(BOM!$D307="",BOM!$R307="Cancelled"),"",IF(BOM!W307="","",BOM!W307))</f>
        <v/>
      </c>
    </row>
    <row r="302" customFormat="false" ht="15" hidden="false" customHeight="false" outlineLevel="0" collapsed="false">
      <c r="A302" s="5" t="str">
        <f aca="false">IF(OR(BOM!$D308="",BOM!$R308="Cancelled"),"",IF(BOM!A308="","",BOM!A308))</f>
        <v/>
      </c>
      <c r="B302" s="5" t="str">
        <f aca="false">IF(OR(BOM!$D308="",BOM!$R308="Cancelled"),"",IF(BOM!B308="","",BOM!B308))</f>
        <v/>
      </c>
      <c r="C302" s="5" t="str">
        <f aca="false">IF(OR(BOM!$D308="",BOM!$R308="Cancelled"),"",IF(BOM!C308="","",BOM!C308))</f>
        <v/>
      </c>
      <c r="D302" s="5" t="str">
        <f aca="false">IF(OR(BOM!$D308="",BOM!$R308="Cancelled"),"",IF(BOM!D308="","",BOM!D308))</f>
        <v/>
      </c>
      <c r="E302" s="5" t="str">
        <f aca="false">IF(OR(BOM!$D308="",BOM!$R308="Cancelled"),"",IF(BOM!E308="","",BOM!E308))</f>
        <v/>
      </c>
      <c r="F302" s="5" t="str">
        <f aca="false">IF(OR(BOM!$D308="",BOM!$R308="Cancelled"),"",IF(BOM!F308="","",BOM!F308))</f>
        <v/>
      </c>
      <c r="G302" s="5" t="str">
        <f aca="false">IF(OR(BOM!$D308="",BOM!$R308="Cancelled"),"",IF(BOM!J308="","",BOM!J308))</f>
        <v/>
      </c>
      <c r="H302" s="5" t="str">
        <f aca="false">IF(OR(BOM!$D308="",BOM!$R308="Cancelled"),"",IF(BOM!K308="","",BOM!K308))</f>
        <v/>
      </c>
      <c r="I302" s="5" t="str">
        <f aca="false">IF(OR(BOM!$D308="",BOM!$R308="Cancelled"),"",IF(BOM!M308="","",BOM!M308))</f>
        <v/>
      </c>
      <c r="J302" s="5" t="str">
        <f aca="false">IF(OR(BOM!$D308="",BOM!$R308="Cancelled"),"",IF(OR(BOM!R308="Received",BOM!R308="NSW Purchased"),"Received",IF(BOM!R308="Purchased – Not Received","Ordered",IF(BOM!R308="Finalized – Not Purchased","Design Released","In Design"))))</f>
        <v/>
      </c>
      <c r="K302" s="52" t="str">
        <f aca="false">IF(OR(BOM!$D308="",BOM!$R308="Cancelled"),"",IF(BOM!W308="","",BOM!W308))</f>
        <v/>
      </c>
    </row>
    <row r="303" customFormat="false" ht="15" hidden="false" customHeight="false" outlineLevel="0" collapsed="false">
      <c r="A303" s="5" t="str">
        <f aca="false">IF(OR(BOM!$D309="",BOM!$R309="Cancelled"),"",IF(BOM!A309="","",BOM!A309))</f>
        <v/>
      </c>
      <c r="B303" s="5" t="str">
        <f aca="false">IF(OR(BOM!$D309="",BOM!$R309="Cancelled"),"",IF(BOM!B309="","",BOM!B309))</f>
        <v/>
      </c>
      <c r="C303" s="5" t="str">
        <f aca="false">IF(OR(BOM!$D309="",BOM!$R309="Cancelled"),"",IF(BOM!C309="","",BOM!C309))</f>
        <v/>
      </c>
      <c r="D303" s="5" t="str">
        <f aca="false">IF(OR(BOM!$D309="",BOM!$R309="Cancelled"),"",IF(BOM!D309="","",BOM!D309))</f>
        <v/>
      </c>
      <c r="E303" s="5" t="str">
        <f aca="false">IF(OR(BOM!$D309="",BOM!$R309="Cancelled"),"",IF(BOM!E309="","",BOM!E309))</f>
        <v/>
      </c>
      <c r="F303" s="5" t="str">
        <f aca="false">IF(OR(BOM!$D309="",BOM!$R309="Cancelled"),"",IF(BOM!F309="","",BOM!F309))</f>
        <v/>
      </c>
      <c r="G303" s="5" t="str">
        <f aca="false">IF(OR(BOM!$D309="",BOM!$R309="Cancelled"),"",IF(BOM!J309="","",BOM!J309))</f>
        <v/>
      </c>
      <c r="H303" s="5" t="str">
        <f aca="false">IF(OR(BOM!$D309="",BOM!$R309="Cancelled"),"",IF(BOM!K309="","",BOM!K309))</f>
        <v/>
      </c>
      <c r="I303" s="5" t="str">
        <f aca="false">IF(OR(BOM!$D309="",BOM!$R309="Cancelled"),"",IF(BOM!M309="","",BOM!M309))</f>
        <v/>
      </c>
      <c r="J303" s="5" t="str">
        <f aca="false">IF(OR(BOM!$D309="",BOM!$R309="Cancelled"),"",IF(OR(BOM!R309="Received",BOM!R309="NSW Purchased"),"Received",IF(BOM!R309="Purchased – Not Received","Ordered",IF(BOM!R309="Finalized – Not Purchased","Design Released","In Design"))))</f>
        <v/>
      </c>
      <c r="K303" s="52" t="str">
        <f aca="false">IF(OR(BOM!$D309="",BOM!$R309="Cancelled"),"",IF(BOM!W309="","",BOM!W309))</f>
        <v/>
      </c>
    </row>
    <row r="304" customFormat="false" ht="15" hidden="false" customHeight="false" outlineLevel="0" collapsed="false">
      <c r="A304" s="5" t="str">
        <f aca="false">IF(OR(BOM!$D310="",BOM!$R310="Cancelled"),"",IF(BOM!A310="","",BOM!A310))</f>
        <v/>
      </c>
      <c r="B304" s="5" t="str">
        <f aca="false">IF(OR(BOM!$D310="",BOM!$R310="Cancelled"),"",IF(BOM!B310="","",BOM!B310))</f>
        <v/>
      </c>
      <c r="C304" s="5" t="str">
        <f aca="false">IF(OR(BOM!$D310="",BOM!$R310="Cancelled"),"",IF(BOM!C310="","",BOM!C310))</f>
        <v/>
      </c>
      <c r="D304" s="5" t="str">
        <f aca="false">IF(OR(BOM!$D310="",BOM!$R310="Cancelled"),"",IF(BOM!D310="","",BOM!D310))</f>
        <v/>
      </c>
      <c r="E304" s="5" t="str">
        <f aca="false">IF(OR(BOM!$D310="",BOM!$R310="Cancelled"),"",IF(BOM!E310="","",BOM!E310))</f>
        <v/>
      </c>
      <c r="F304" s="5" t="str">
        <f aca="false">IF(OR(BOM!$D310="",BOM!$R310="Cancelled"),"",IF(BOM!F310="","",BOM!F310))</f>
        <v/>
      </c>
      <c r="G304" s="5" t="str">
        <f aca="false">IF(OR(BOM!$D310="",BOM!$R310="Cancelled"),"",IF(BOM!J310="","",BOM!J310))</f>
        <v/>
      </c>
      <c r="H304" s="5" t="str">
        <f aca="false">IF(OR(BOM!$D310="",BOM!$R310="Cancelled"),"",IF(BOM!K310="","",BOM!K310))</f>
        <v/>
      </c>
      <c r="I304" s="5" t="str">
        <f aca="false">IF(OR(BOM!$D310="",BOM!$R310="Cancelled"),"",IF(BOM!M310="","",BOM!M310))</f>
        <v/>
      </c>
      <c r="J304" s="5" t="str">
        <f aca="false">IF(OR(BOM!$D310="",BOM!$R310="Cancelled"),"",IF(OR(BOM!R310="Received",BOM!R310="NSW Purchased"),"Received",IF(BOM!R310="Purchased – Not Received","Ordered",IF(BOM!R310="Finalized – Not Purchased","Design Released","In Design"))))</f>
        <v/>
      </c>
      <c r="K304" s="52" t="str">
        <f aca="false">IF(OR(BOM!$D310="",BOM!$R310="Cancelled"),"",IF(BOM!W310="","",BOM!W310))</f>
        <v/>
      </c>
    </row>
    <row r="305" customFormat="false" ht="15" hidden="false" customHeight="false" outlineLevel="0" collapsed="false">
      <c r="A305" s="5" t="str">
        <f aca="false">IF(OR(BOM!$D311="",BOM!$R311="Cancelled"),"",IF(BOM!A311="","",BOM!A311))</f>
        <v/>
      </c>
      <c r="B305" s="5" t="str">
        <f aca="false">IF(OR(BOM!$D311="",BOM!$R311="Cancelled"),"",IF(BOM!B311="","",BOM!B311))</f>
        <v/>
      </c>
      <c r="C305" s="5" t="str">
        <f aca="false">IF(OR(BOM!$D311="",BOM!$R311="Cancelled"),"",IF(BOM!C311="","",BOM!C311))</f>
        <v/>
      </c>
      <c r="D305" s="5" t="str">
        <f aca="false">IF(OR(BOM!$D311="",BOM!$R311="Cancelled"),"",IF(BOM!D311="","",BOM!D311))</f>
        <v/>
      </c>
      <c r="E305" s="5" t="str">
        <f aca="false">IF(OR(BOM!$D311="",BOM!$R311="Cancelled"),"",IF(BOM!E311="","",BOM!E311))</f>
        <v/>
      </c>
      <c r="F305" s="5" t="str">
        <f aca="false">IF(OR(BOM!$D311="",BOM!$R311="Cancelled"),"",IF(BOM!F311="","",BOM!F311))</f>
        <v/>
      </c>
      <c r="G305" s="5" t="str">
        <f aca="false">IF(OR(BOM!$D311="",BOM!$R311="Cancelled"),"",IF(BOM!J311="","",BOM!J311))</f>
        <v/>
      </c>
      <c r="H305" s="5" t="str">
        <f aca="false">IF(OR(BOM!$D311="",BOM!$R311="Cancelled"),"",IF(BOM!K311="","",BOM!K311))</f>
        <v/>
      </c>
      <c r="I305" s="5" t="str">
        <f aca="false">IF(OR(BOM!$D311="",BOM!$R311="Cancelled"),"",IF(BOM!M311="","",BOM!M311))</f>
        <v/>
      </c>
      <c r="J305" s="5" t="str">
        <f aca="false">IF(OR(BOM!$D311="",BOM!$R311="Cancelled"),"",IF(OR(BOM!R311="Received",BOM!R311="NSW Purchased"),"Received",IF(BOM!R311="Purchased – Not Received","Ordered",IF(BOM!R311="Finalized – Not Purchased","Design Released","In Design"))))</f>
        <v/>
      </c>
      <c r="K305" s="52" t="str">
        <f aca="false">IF(OR(BOM!$D311="",BOM!$R311="Cancelled"),"",IF(BOM!W311="","",BOM!W311))</f>
        <v/>
      </c>
    </row>
    <row r="306" customFormat="false" ht="15" hidden="false" customHeight="false" outlineLevel="0" collapsed="false">
      <c r="A306" s="5" t="str">
        <f aca="false">IF(OR(BOM!$D312="",BOM!$R312="Cancelled"),"",IF(BOM!A312="","",BOM!A312))</f>
        <v/>
      </c>
      <c r="B306" s="5" t="str">
        <f aca="false">IF(OR(BOM!$D312="",BOM!$R312="Cancelled"),"",IF(BOM!B312="","",BOM!B312))</f>
        <v/>
      </c>
      <c r="C306" s="5" t="str">
        <f aca="false">IF(OR(BOM!$D312="",BOM!$R312="Cancelled"),"",IF(BOM!C312="","",BOM!C312))</f>
        <v/>
      </c>
      <c r="D306" s="5" t="str">
        <f aca="false">IF(OR(BOM!$D312="",BOM!$R312="Cancelled"),"",IF(BOM!D312="","",BOM!D312))</f>
        <v/>
      </c>
      <c r="E306" s="5" t="str">
        <f aca="false">IF(OR(BOM!$D312="",BOM!$R312="Cancelled"),"",IF(BOM!E312="","",BOM!E312))</f>
        <v/>
      </c>
      <c r="F306" s="5" t="str">
        <f aca="false">IF(OR(BOM!$D312="",BOM!$R312="Cancelled"),"",IF(BOM!F312="","",BOM!F312))</f>
        <v/>
      </c>
      <c r="G306" s="5" t="str">
        <f aca="false">IF(OR(BOM!$D312="",BOM!$R312="Cancelled"),"",IF(BOM!J312="","",BOM!J312))</f>
        <v/>
      </c>
      <c r="H306" s="5" t="str">
        <f aca="false">IF(OR(BOM!$D312="",BOM!$R312="Cancelled"),"",IF(BOM!K312="","",BOM!K312))</f>
        <v/>
      </c>
      <c r="I306" s="5" t="str">
        <f aca="false">IF(OR(BOM!$D312="",BOM!$R312="Cancelled"),"",IF(BOM!M312="","",BOM!M312))</f>
        <v/>
      </c>
      <c r="J306" s="5" t="str">
        <f aca="false">IF(OR(BOM!$D312="",BOM!$R312="Cancelled"),"",IF(OR(BOM!R312="Received",BOM!R312="NSW Purchased"),"Received",IF(BOM!R312="Purchased – Not Received","Ordered",IF(BOM!R312="Finalized – Not Purchased","Design Released","In Design"))))</f>
        <v/>
      </c>
      <c r="K306" s="52" t="str">
        <f aca="false">IF(OR(BOM!$D312="",BOM!$R312="Cancelled"),"",IF(BOM!W312="","",BOM!W312))</f>
        <v/>
      </c>
    </row>
    <row r="307" customFormat="false" ht="15" hidden="false" customHeight="false" outlineLevel="0" collapsed="false">
      <c r="A307" s="5" t="str">
        <f aca="false">IF(OR(BOM!$D313="",BOM!$R313="Cancelled"),"",IF(BOM!A313="","",BOM!A313))</f>
        <v/>
      </c>
      <c r="B307" s="5" t="str">
        <f aca="false">IF(OR(BOM!$D313="",BOM!$R313="Cancelled"),"",IF(BOM!B313="","",BOM!B313))</f>
        <v/>
      </c>
      <c r="C307" s="5" t="str">
        <f aca="false">IF(OR(BOM!$D313="",BOM!$R313="Cancelled"),"",IF(BOM!C313="","",BOM!C313))</f>
        <v/>
      </c>
      <c r="D307" s="5" t="str">
        <f aca="false">IF(OR(BOM!$D313="",BOM!$R313="Cancelled"),"",IF(BOM!D313="","",BOM!D313))</f>
        <v/>
      </c>
      <c r="E307" s="5" t="str">
        <f aca="false">IF(OR(BOM!$D313="",BOM!$R313="Cancelled"),"",IF(BOM!E313="","",BOM!E313))</f>
        <v/>
      </c>
      <c r="F307" s="5" t="str">
        <f aca="false">IF(OR(BOM!$D313="",BOM!$R313="Cancelled"),"",IF(BOM!F313="","",BOM!F313))</f>
        <v/>
      </c>
      <c r="G307" s="5" t="str">
        <f aca="false">IF(OR(BOM!$D313="",BOM!$R313="Cancelled"),"",IF(BOM!J313="","",BOM!J313))</f>
        <v/>
      </c>
      <c r="H307" s="5" t="str">
        <f aca="false">IF(OR(BOM!$D313="",BOM!$R313="Cancelled"),"",IF(BOM!K313="","",BOM!K313))</f>
        <v/>
      </c>
      <c r="I307" s="5" t="str">
        <f aca="false">IF(OR(BOM!$D313="",BOM!$R313="Cancelled"),"",IF(BOM!M313="","",BOM!M313))</f>
        <v/>
      </c>
      <c r="J307" s="5" t="str">
        <f aca="false">IF(OR(BOM!$D313="",BOM!$R313="Cancelled"),"",IF(OR(BOM!R313="Received",BOM!R313="NSW Purchased"),"Received",IF(BOM!R313="Purchased – Not Received","Ordered",IF(BOM!R313="Finalized – Not Purchased","Design Released","In Design"))))</f>
        <v/>
      </c>
      <c r="K307" s="52" t="str">
        <f aca="false">IF(OR(BOM!$D313="",BOM!$R313="Cancelled"),"",IF(BOM!W313="","",BOM!W313))</f>
        <v/>
      </c>
    </row>
    <row r="308" customFormat="false" ht="15" hidden="false" customHeight="false" outlineLevel="0" collapsed="false">
      <c r="A308" s="5" t="str">
        <f aca="false">IF(OR(BOM!$D314="",BOM!$R314="Cancelled"),"",IF(BOM!A314="","",BOM!A314))</f>
        <v/>
      </c>
      <c r="B308" s="5" t="str">
        <f aca="false">IF(OR(BOM!$D314="",BOM!$R314="Cancelled"),"",IF(BOM!B314="","",BOM!B314))</f>
        <v/>
      </c>
      <c r="C308" s="5" t="str">
        <f aca="false">IF(OR(BOM!$D314="",BOM!$R314="Cancelled"),"",IF(BOM!C314="","",BOM!C314))</f>
        <v/>
      </c>
      <c r="D308" s="5" t="str">
        <f aca="false">IF(OR(BOM!$D314="",BOM!$R314="Cancelled"),"",IF(BOM!D314="","",BOM!D314))</f>
        <v/>
      </c>
      <c r="E308" s="5" t="str">
        <f aca="false">IF(OR(BOM!$D314="",BOM!$R314="Cancelled"),"",IF(BOM!E314="","",BOM!E314))</f>
        <v/>
      </c>
      <c r="F308" s="5" t="str">
        <f aca="false">IF(OR(BOM!$D314="",BOM!$R314="Cancelled"),"",IF(BOM!F314="","",BOM!F314))</f>
        <v/>
      </c>
      <c r="G308" s="5" t="str">
        <f aca="false">IF(OR(BOM!$D314="",BOM!$R314="Cancelled"),"",IF(BOM!J314="","",BOM!J314))</f>
        <v/>
      </c>
      <c r="H308" s="5" t="str">
        <f aca="false">IF(OR(BOM!$D314="",BOM!$R314="Cancelled"),"",IF(BOM!K314="","",BOM!K314))</f>
        <v/>
      </c>
      <c r="I308" s="5" t="str">
        <f aca="false">IF(OR(BOM!$D314="",BOM!$R314="Cancelled"),"",IF(BOM!M314="","",BOM!M314))</f>
        <v/>
      </c>
      <c r="J308" s="5" t="str">
        <f aca="false">IF(OR(BOM!$D314="",BOM!$R314="Cancelled"),"",IF(OR(BOM!R314="Received",BOM!R314="NSW Purchased"),"Received",IF(BOM!R314="Purchased – Not Received","Ordered",IF(BOM!R314="Finalized – Not Purchased","Design Released","In Design"))))</f>
        <v/>
      </c>
      <c r="K308" s="52" t="str">
        <f aca="false">IF(OR(BOM!$D314="",BOM!$R314="Cancelled"),"",IF(BOM!W314="","",BOM!W314))</f>
        <v/>
      </c>
    </row>
    <row r="309" customFormat="false" ht="15" hidden="false" customHeight="false" outlineLevel="0" collapsed="false">
      <c r="A309" s="5" t="str">
        <f aca="false">IF(OR(BOM!$D315="",BOM!$R315="Cancelled"),"",IF(BOM!A315="","",BOM!A315))</f>
        <v/>
      </c>
      <c r="B309" s="5" t="str">
        <f aca="false">IF(OR(BOM!$D315="",BOM!$R315="Cancelled"),"",IF(BOM!B315="","",BOM!B315))</f>
        <v/>
      </c>
      <c r="C309" s="5" t="str">
        <f aca="false">IF(OR(BOM!$D315="",BOM!$R315="Cancelled"),"",IF(BOM!C315="","",BOM!C315))</f>
        <v/>
      </c>
      <c r="D309" s="5" t="str">
        <f aca="false">IF(OR(BOM!$D315="",BOM!$R315="Cancelled"),"",IF(BOM!D315="","",BOM!D315))</f>
        <v/>
      </c>
      <c r="E309" s="5" t="str">
        <f aca="false">IF(OR(BOM!$D315="",BOM!$R315="Cancelled"),"",IF(BOM!E315="","",BOM!E315))</f>
        <v/>
      </c>
      <c r="F309" s="5" t="str">
        <f aca="false">IF(OR(BOM!$D315="",BOM!$R315="Cancelled"),"",IF(BOM!F315="","",BOM!F315))</f>
        <v/>
      </c>
      <c r="G309" s="5" t="str">
        <f aca="false">IF(OR(BOM!$D315="",BOM!$R315="Cancelled"),"",IF(BOM!J315="","",BOM!J315))</f>
        <v/>
      </c>
      <c r="H309" s="5" t="str">
        <f aca="false">IF(OR(BOM!$D315="",BOM!$R315="Cancelled"),"",IF(BOM!K315="","",BOM!K315))</f>
        <v/>
      </c>
      <c r="I309" s="5" t="str">
        <f aca="false">IF(OR(BOM!$D315="",BOM!$R315="Cancelled"),"",IF(BOM!M315="","",BOM!M315))</f>
        <v/>
      </c>
      <c r="J309" s="5" t="str">
        <f aca="false">IF(OR(BOM!$D315="",BOM!$R315="Cancelled"),"",IF(OR(BOM!R315="Received",BOM!R315="NSW Purchased"),"Received",IF(BOM!R315="Purchased – Not Received","Ordered",IF(BOM!R315="Finalized – Not Purchased","Design Released","In Design"))))</f>
        <v/>
      </c>
      <c r="K309" s="52" t="str">
        <f aca="false">IF(OR(BOM!$D315="",BOM!$R315="Cancelled"),"",IF(BOM!W315="","",BOM!W315))</f>
        <v/>
      </c>
    </row>
    <row r="310" customFormat="false" ht="15" hidden="false" customHeight="false" outlineLevel="0" collapsed="false">
      <c r="A310" s="5" t="str">
        <f aca="false">IF(OR(BOM!$D316="",BOM!$R316="Cancelled"),"",IF(BOM!A316="","",BOM!A316))</f>
        <v/>
      </c>
      <c r="B310" s="5" t="str">
        <f aca="false">IF(OR(BOM!$D316="",BOM!$R316="Cancelled"),"",IF(BOM!B316="","",BOM!B316))</f>
        <v/>
      </c>
      <c r="C310" s="5" t="str">
        <f aca="false">IF(OR(BOM!$D316="",BOM!$R316="Cancelled"),"",IF(BOM!C316="","",BOM!C316))</f>
        <v/>
      </c>
      <c r="D310" s="5" t="str">
        <f aca="false">IF(OR(BOM!$D316="",BOM!$R316="Cancelled"),"",IF(BOM!D316="","",BOM!D316))</f>
        <v/>
      </c>
      <c r="E310" s="5" t="str">
        <f aca="false">IF(OR(BOM!$D316="",BOM!$R316="Cancelled"),"",IF(BOM!E316="","",BOM!E316))</f>
        <v/>
      </c>
      <c r="F310" s="5" t="str">
        <f aca="false">IF(OR(BOM!$D316="",BOM!$R316="Cancelled"),"",IF(BOM!F316="","",BOM!F316))</f>
        <v/>
      </c>
      <c r="G310" s="5" t="str">
        <f aca="false">IF(OR(BOM!$D316="",BOM!$R316="Cancelled"),"",IF(BOM!J316="","",BOM!J316))</f>
        <v/>
      </c>
      <c r="H310" s="5" t="str">
        <f aca="false">IF(OR(BOM!$D316="",BOM!$R316="Cancelled"),"",IF(BOM!K316="","",BOM!K316))</f>
        <v/>
      </c>
      <c r="I310" s="5" t="str">
        <f aca="false">IF(OR(BOM!$D316="",BOM!$R316="Cancelled"),"",IF(BOM!M316="","",BOM!M316))</f>
        <v/>
      </c>
      <c r="J310" s="5" t="str">
        <f aca="false">IF(OR(BOM!$D316="",BOM!$R316="Cancelled"),"",IF(OR(BOM!R316="Received",BOM!R316="NSW Purchased"),"Received",IF(BOM!R316="Purchased – Not Received","Ordered",IF(BOM!R316="Finalized – Not Purchased","Design Released","In Design"))))</f>
        <v/>
      </c>
      <c r="K310" s="52" t="str">
        <f aca="false">IF(OR(BOM!$D316="",BOM!$R316="Cancelled"),"",IF(BOM!W316="","",BOM!W316))</f>
        <v/>
      </c>
    </row>
    <row r="311" customFormat="false" ht="15" hidden="false" customHeight="false" outlineLevel="0" collapsed="false">
      <c r="A311" s="5" t="str">
        <f aca="false">IF(OR(BOM!$D317="",BOM!$R317="Cancelled"),"",IF(BOM!A317="","",BOM!A317))</f>
        <v/>
      </c>
      <c r="B311" s="5" t="str">
        <f aca="false">IF(OR(BOM!$D317="",BOM!$R317="Cancelled"),"",IF(BOM!B317="","",BOM!B317))</f>
        <v/>
      </c>
      <c r="C311" s="5" t="str">
        <f aca="false">IF(OR(BOM!$D317="",BOM!$R317="Cancelled"),"",IF(BOM!C317="","",BOM!C317))</f>
        <v/>
      </c>
      <c r="D311" s="5" t="str">
        <f aca="false">IF(OR(BOM!$D317="",BOM!$R317="Cancelled"),"",IF(BOM!D317="","",BOM!D317))</f>
        <v/>
      </c>
      <c r="E311" s="5" t="str">
        <f aca="false">IF(OR(BOM!$D317="",BOM!$R317="Cancelled"),"",IF(BOM!E317="","",BOM!E317))</f>
        <v/>
      </c>
      <c r="F311" s="5" t="str">
        <f aca="false">IF(OR(BOM!$D317="",BOM!$R317="Cancelled"),"",IF(BOM!F317="","",BOM!F317))</f>
        <v/>
      </c>
      <c r="G311" s="5" t="str">
        <f aca="false">IF(OR(BOM!$D317="",BOM!$R317="Cancelled"),"",IF(BOM!J317="","",BOM!J317))</f>
        <v/>
      </c>
      <c r="H311" s="5" t="str">
        <f aca="false">IF(OR(BOM!$D317="",BOM!$R317="Cancelled"),"",IF(BOM!K317="","",BOM!K317))</f>
        <v/>
      </c>
      <c r="I311" s="5" t="str">
        <f aca="false">IF(OR(BOM!$D317="",BOM!$R317="Cancelled"),"",IF(BOM!M317="","",BOM!M317))</f>
        <v/>
      </c>
      <c r="J311" s="5" t="str">
        <f aca="false">IF(OR(BOM!$D317="",BOM!$R317="Cancelled"),"",IF(OR(BOM!R317="Received",BOM!R317="NSW Purchased"),"Received",IF(BOM!R317="Purchased – Not Received","Ordered",IF(BOM!R317="Finalized – Not Purchased","Design Released","In Design"))))</f>
        <v/>
      </c>
      <c r="K311" s="52" t="str">
        <f aca="false">IF(OR(BOM!$D317="",BOM!$R317="Cancelled"),"",IF(BOM!W317="","",BOM!W317))</f>
        <v/>
      </c>
    </row>
    <row r="312" customFormat="false" ht="15" hidden="false" customHeight="false" outlineLevel="0" collapsed="false">
      <c r="A312" s="5" t="str">
        <f aca="false">IF(OR(BOM!$D318="",BOM!$R318="Cancelled"),"",IF(BOM!A318="","",BOM!A318))</f>
        <v/>
      </c>
      <c r="B312" s="5" t="str">
        <f aca="false">IF(OR(BOM!$D318="",BOM!$R318="Cancelled"),"",IF(BOM!B318="","",BOM!B318))</f>
        <v/>
      </c>
      <c r="C312" s="5" t="str">
        <f aca="false">IF(OR(BOM!$D318="",BOM!$R318="Cancelled"),"",IF(BOM!C318="","",BOM!C318))</f>
        <v/>
      </c>
      <c r="D312" s="5" t="str">
        <f aca="false">IF(OR(BOM!$D318="",BOM!$R318="Cancelled"),"",IF(BOM!D318="","",BOM!D318))</f>
        <v/>
      </c>
      <c r="E312" s="5" t="str">
        <f aca="false">IF(OR(BOM!$D318="",BOM!$R318="Cancelled"),"",IF(BOM!E318="","",BOM!E318))</f>
        <v/>
      </c>
      <c r="F312" s="5" t="str">
        <f aca="false">IF(OR(BOM!$D318="",BOM!$R318="Cancelled"),"",IF(BOM!F318="","",BOM!F318))</f>
        <v/>
      </c>
      <c r="G312" s="5" t="str">
        <f aca="false">IF(OR(BOM!$D318="",BOM!$R318="Cancelled"),"",IF(BOM!J318="","",BOM!J318))</f>
        <v/>
      </c>
      <c r="H312" s="5" t="str">
        <f aca="false">IF(OR(BOM!$D318="",BOM!$R318="Cancelled"),"",IF(BOM!K318="","",BOM!K318))</f>
        <v/>
      </c>
      <c r="I312" s="5" t="str">
        <f aca="false">IF(OR(BOM!$D318="",BOM!$R318="Cancelled"),"",IF(BOM!M318="","",BOM!M318))</f>
        <v/>
      </c>
      <c r="J312" s="5" t="str">
        <f aca="false">IF(OR(BOM!$D318="",BOM!$R318="Cancelled"),"",IF(OR(BOM!R318="Received",BOM!R318="NSW Purchased"),"Received",IF(BOM!R318="Purchased – Not Received","Ordered",IF(BOM!R318="Finalized – Not Purchased","Design Released","In Design"))))</f>
        <v/>
      </c>
      <c r="K312" s="52" t="str">
        <f aca="false">IF(OR(BOM!$D318="",BOM!$R318="Cancelled"),"",IF(BOM!W318="","",BOM!W318))</f>
        <v/>
      </c>
    </row>
    <row r="313" customFormat="false" ht="15" hidden="false" customHeight="false" outlineLevel="0" collapsed="false">
      <c r="A313" s="5" t="str">
        <f aca="false">IF(OR(BOM!$D319="",BOM!$R319="Cancelled"),"",IF(BOM!A319="","",BOM!A319))</f>
        <v/>
      </c>
      <c r="B313" s="5" t="str">
        <f aca="false">IF(OR(BOM!$D319="",BOM!$R319="Cancelled"),"",IF(BOM!B319="","",BOM!B319))</f>
        <v/>
      </c>
      <c r="C313" s="5" t="str">
        <f aca="false">IF(OR(BOM!$D319="",BOM!$R319="Cancelled"),"",IF(BOM!C319="","",BOM!C319))</f>
        <v/>
      </c>
      <c r="D313" s="5" t="str">
        <f aca="false">IF(OR(BOM!$D319="",BOM!$R319="Cancelled"),"",IF(BOM!D319="","",BOM!D319))</f>
        <v/>
      </c>
      <c r="E313" s="5" t="str">
        <f aca="false">IF(OR(BOM!$D319="",BOM!$R319="Cancelled"),"",IF(BOM!E319="","",BOM!E319))</f>
        <v/>
      </c>
      <c r="F313" s="5" t="str">
        <f aca="false">IF(OR(BOM!$D319="",BOM!$R319="Cancelled"),"",IF(BOM!F319="","",BOM!F319))</f>
        <v/>
      </c>
      <c r="G313" s="5" t="str">
        <f aca="false">IF(OR(BOM!$D319="",BOM!$R319="Cancelled"),"",IF(BOM!J319="","",BOM!J319))</f>
        <v/>
      </c>
      <c r="H313" s="5" t="str">
        <f aca="false">IF(OR(BOM!$D319="",BOM!$R319="Cancelled"),"",IF(BOM!K319="","",BOM!K319))</f>
        <v/>
      </c>
      <c r="I313" s="5" t="str">
        <f aca="false">IF(OR(BOM!$D319="",BOM!$R319="Cancelled"),"",IF(BOM!M319="","",BOM!M319))</f>
        <v/>
      </c>
      <c r="J313" s="5" t="str">
        <f aca="false">IF(OR(BOM!$D319="",BOM!$R319="Cancelled"),"",IF(OR(BOM!R319="Received",BOM!R319="NSW Purchased"),"Received",IF(BOM!R319="Purchased – Not Received","Ordered",IF(BOM!R319="Finalized – Not Purchased","Design Released","In Design"))))</f>
        <v/>
      </c>
      <c r="K313" s="52" t="str">
        <f aca="false">IF(OR(BOM!$D319="",BOM!$R319="Cancelled"),"",IF(BOM!W319="","",BOM!W319))</f>
        <v/>
      </c>
    </row>
    <row r="314" customFormat="false" ht="15" hidden="false" customHeight="false" outlineLevel="0" collapsed="false">
      <c r="A314" s="5" t="str">
        <f aca="false">IF(OR(BOM!$D320="",BOM!$R320="Cancelled"),"",IF(BOM!A320="","",BOM!A320))</f>
        <v/>
      </c>
      <c r="B314" s="5" t="str">
        <f aca="false">IF(OR(BOM!$D320="",BOM!$R320="Cancelled"),"",IF(BOM!B320="","",BOM!B320))</f>
        <v/>
      </c>
      <c r="C314" s="5" t="str">
        <f aca="false">IF(OR(BOM!$D320="",BOM!$R320="Cancelled"),"",IF(BOM!C320="","",BOM!C320))</f>
        <v/>
      </c>
      <c r="D314" s="5" t="str">
        <f aca="false">IF(OR(BOM!$D320="",BOM!$R320="Cancelled"),"",IF(BOM!D320="","",BOM!D320))</f>
        <v/>
      </c>
      <c r="E314" s="5" t="str">
        <f aca="false">IF(OR(BOM!$D320="",BOM!$R320="Cancelled"),"",IF(BOM!E320="","",BOM!E320))</f>
        <v/>
      </c>
      <c r="F314" s="5" t="str">
        <f aca="false">IF(OR(BOM!$D320="",BOM!$R320="Cancelled"),"",IF(BOM!F320="","",BOM!F320))</f>
        <v/>
      </c>
      <c r="G314" s="5" t="str">
        <f aca="false">IF(OR(BOM!$D320="",BOM!$R320="Cancelled"),"",IF(BOM!J320="","",BOM!J320))</f>
        <v/>
      </c>
      <c r="H314" s="5" t="str">
        <f aca="false">IF(OR(BOM!$D320="",BOM!$R320="Cancelled"),"",IF(BOM!K320="","",BOM!K320))</f>
        <v/>
      </c>
      <c r="I314" s="5" t="str">
        <f aca="false">IF(OR(BOM!$D320="",BOM!$R320="Cancelled"),"",IF(BOM!M320="","",BOM!M320))</f>
        <v/>
      </c>
      <c r="J314" s="5" t="str">
        <f aca="false">IF(OR(BOM!$D320="",BOM!$R320="Cancelled"),"",IF(OR(BOM!R320="Received",BOM!R320="NSW Purchased"),"Received",IF(BOM!R320="Purchased – Not Received","Ordered",IF(BOM!R320="Finalized – Not Purchased","Design Released","In Design"))))</f>
        <v/>
      </c>
      <c r="K314" s="52" t="str">
        <f aca="false">IF(OR(BOM!$D320="",BOM!$R320="Cancelled"),"",IF(BOM!W320="","",BOM!W320))</f>
        <v/>
      </c>
    </row>
    <row r="315" customFormat="false" ht="15" hidden="false" customHeight="false" outlineLevel="0" collapsed="false">
      <c r="A315" s="5" t="str">
        <f aca="false">IF(OR(BOM!$D321="",BOM!$R321="Cancelled"),"",IF(BOM!A321="","",BOM!A321))</f>
        <v/>
      </c>
      <c r="B315" s="5" t="str">
        <f aca="false">IF(OR(BOM!$D321="",BOM!$R321="Cancelled"),"",IF(BOM!B321="","",BOM!B321))</f>
        <v/>
      </c>
      <c r="C315" s="5" t="str">
        <f aca="false">IF(OR(BOM!$D321="",BOM!$R321="Cancelled"),"",IF(BOM!C321="","",BOM!C321))</f>
        <v/>
      </c>
      <c r="D315" s="5" t="str">
        <f aca="false">IF(OR(BOM!$D321="",BOM!$R321="Cancelled"),"",IF(BOM!D321="","",BOM!D321))</f>
        <v/>
      </c>
      <c r="E315" s="5" t="str">
        <f aca="false">IF(OR(BOM!$D321="",BOM!$R321="Cancelled"),"",IF(BOM!E321="","",BOM!E321))</f>
        <v/>
      </c>
      <c r="F315" s="5" t="str">
        <f aca="false">IF(OR(BOM!$D321="",BOM!$R321="Cancelled"),"",IF(BOM!F321="","",BOM!F321))</f>
        <v/>
      </c>
      <c r="G315" s="5" t="str">
        <f aca="false">IF(OR(BOM!$D321="",BOM!$R321="Cancelled"),"",IF(BOM!J321="","",BOM!J321))</f>
        <v/>
      </c>
      <c r="H315" s="5" t="str">
        <f aca="false">IF(OR(BOM!$D321="",BOM!$R321="Cancelled"),"",IF(BOM!K321="","",BOM!K321))</f>
        <v/>
      </c>
      <c r="I315" s="5" t="str">
        <f aca="false">IF(OR(BOM!$D321="",BOM!$R321="Cancelled"),"",IF(BOM!M321="","",BOM!M321))</f>
        <v/>
      </c>
      <c r="J315" s="5" t="str">
        <f aca="false">IF(OR(BOM!$D321="",BOM!$R321="Cancelled"),"",IF(OR(BOM!R321="Received",BOM!R321="NSW Purchased"),"Received",IF(BOM!R321="Purchased – Not Received","Ordered",IF(BOM!R321="Finalized – Not Purchased","Design Released","In Design"))))</f>
        <v/>
      </c>
      <c r="K315" s="52" t="str">
        <f aca="false">IF(OR(BOM!$D321="",BOM!$R321="Cancelled"),"",IF(BOM!W321="","",BOM!W321))</f>
        <v/>
      </c>
    </row>
    <row r="316" customFormat="false" ht="15" hidden="false" customHeight="false" outlineLevel="0" collapsed="false">
      <c r="A316" s="5" t="str">
        <f aca="false">IF(OR(BOM!$D322="",BOM!$R322="Cancelled"),"",IF(BOM!A322="","",BOM!A322))</f>
        <v/>
      </c>
      <c r="B316" s="5" t="str">
        <f aca="false">IF(OR(BOM!$D322="",BOM!$R322="Cancelled"),"",IF(BOM!B322="","",BOM!B322))</f>
        <v/>
      </c>
      <c r="C316" s="5" t="str">
        <f aca="false">IF(OR(BOM!$D322="",BOM!$R322="Cancelled"),"",IF(BOM!C322="","",BOM!C322))</f>
        <v/>
      </c>
      <c r="D316" s="5" t="str">
        <f aca="false">IF(OR(BOM!$D322="",BOM!$R322="Cancelled"),"",IF(BOM!D322="","",BOM!D322))</f>
        <v/>
      </c>
      <c r="E316" s="5" t="str">
        <f aca="false">IF(OR(BOM!$D322="",BOM!$R322="Cancelled"),"",IF(BOM!E322="","",BOM!E322))</f>
        <v/>
      </c>
      <c r="F316" s="5" t="str">
        <f aca="false">IF(OR(BOM!$D322="",BOM!$R322="Cancelled"),"",IF(BOM!F322="","",BOM!F322))</f>
        <v/>
      </c>
      <c r="G316" s="5" t="str">
        <f aca="false">IF(OR(BOM!$D322="",BOM!$R322="Cancelled"),"",IF(BOM!J322="","",BOM!J322))</f>
        <v/>
      </c>
      <c r="H316" s="5" t="str">
        <f aca="false">IF(OR(BOM!$D322="",BOM!$R322="Cancelled"),"",IF(BOM!K322="","",BOM!K322))</f>
        <v/>
      </c>
      <c r="I316" s="5" t="str">
        <f aca="false">IF(OR(BOM!$D322="",BOM!$R322="Cancelled"),"",IF(BOM!M322="","",BOM!M322))</f>
        <v/>
      </c>
      <c r="J316" s="5" t="str">
        <f aca="false">IF(OR(BOM!$D322="",BOM!$R322="Cancelled"),"",IF(OR(BOM!R322="Received",BOM!R322="NSW Purchased"),"Received",IF(BOM!R322="Purchased – Not Received","Ordered",IF(BOM!R322="Finalized – Not Purchased","Design Released","In Design"))))</f>
        <v/>
      </c>
      <c r="K316" s="52" t="str">
        <f aca="false">IF(OR(BOM!$D322="",BOM!$R322="Cancelled"),"",IF(BOM!W322="","",BOM!W322))</f>
        <v/>
      </c>
    </row>
    <row r="317" customFormat="false" ht="15" hidden="false" customHeight="false" outlineLevel="0" collapsed="false">
      <c r="A317" s="5" t="str">
        <f aca="false">IF(OR(BOM!$D323="",BOM!$R323="Cancelled"),"",IF(BOM!A323="","",BOM!A323))</f>
        <v/>
      </c>
      <c r="B317" s="5" t="str">
        <f aca="false">IF(OR(BOM!$D323="",BOM!$R323="Cancelled"),"",IF(BOM!B323="","",BOM!B323))</f>
        <v/>
      </c>
      <c r="C317" s="5" t="str">
        <f aca="false">IF(OR(BOM!$D323="",BOM!$R323="Cancelled"),"",IF(BOM!C323="","",BOM!C323))</f>
        <v/>
      </c>
      <c r="D317" s="5" t="str">
        <f aca="false">IF(OR(BOM!$D323="",BOM!$R323="Cancelled"),"",IF(BOM!D323="","",BOM!D323))</f>
        <v/>
      </c>
      <c r="E317" s="5" t="str">
        <f aca="false">IF(OR(BOM!$D323="",BOM!$R323="Cancelled"),"",IF(BOM!E323="","",BOM!E323))</f>
        <v/>
      </c>
      <c r="F317" s="5" t="str">
        <f aca="false">IF(OR(BOM!$D323="",BOM!$R323="Cancelled"),"",IF(BOM!F323="","",BOM!F323))</f>
        <v/>
      </c>
      <c r="G317" s="5" t="str">
        <f aca="false">IF(OR(BOM!$D323="",BOM!$R323="Cancelled"),"",IF(BOM!J323="","",BOM!J323))</f>
        <v/>
      </c>
      <c r="H317" s="5" t="str">
        <f aca="false">IF(OR(BOM!$D323="",BOM!$R323="Cancelled"),"",IF(BOM!K323="","",BOM!K323))</f>
        <v/>
      </c>
      <c r="I317" s="5" t="str">
        <f aca="false">IF(OR(BOM!$D323="",BOM!$R323="Cancelled"),"",IF(BOM!M323="","",BOM!M323))</f>
        <v/>
      </c>
      <c r="J317" s="5" t="str">
        <f aca="false">IF(OR(BOM!$D323="",BOM!$R323="Cancelled"),"",IF(OR(BOM!R323="Received",BOM!R323="NSW Purchased"),"Received",IF(BOM!R323="Purchased – Not Received","Ordered",IF(BOM!R323="Finalized – Not Purchased","Design Released","In Design"))))</f>
        <v/>
      </c>
      <c r="K317" s="52" t="str">
        <f aca="false">IF(OR(BOM!$D323="",BOM!$R323="Cancelled"),"",IF(BOM!W323="","",BOM!W323))</f>
        <v/>
      </c>
    </row>
    <row r="318" customFormat="false" ht="15" hidden="false" customHeight="false" outlineLevel="0" collapsed="false">
      <c r="A318" s="5" t="str">
        <f aca="false">IF(OR(BOM!$D324="",BOM!$R324="Cancelled"),"",IF(BOM!A324="","",BOM!A324))</f>
        <v/>
      </c>
      <c r="B318" s="5" t="str">
        <f aca="false">IF(OR(BOM!$D324="",BOM!$R324="Cancelled"),"",IF(BOM!B324="","",BOM!B324))</f>
        <v/>
      </c>
      <c r="C318" s="5" t="str">
        <f aca="false">IF(OR(BOM!$D324="",BOM!$R324="Cancelled"),"",IF(BOM!C324="","",BOM!C324))</f>
        <v/>
      </c>
      <c r="D318" s="5" t="str">
        <f aca="false">IF(OR(BOM!$D324="",BOM!$R324="Cancelled"),"",IF(BOM!D324="","",BOM!D324))</f>
        <v/>
      </c>
      <c r="E318" s="5" t="str">
        <f aca="false">IF(OR(BOM!$D324="",BOM!$R324="Cancelled"),"",IF(BOM!E324="","",BOM!E324))</f>
        <v/>
      </c>
      <c r="F318" s="5" t="str">
        <f aca="false">IF(OR(BOM!$D324="",BOM!$R324="Cancelled"),"",IF(BOM!F324="","",BOM!F324))</f>
        <v/>
      </c>
      <c r="G318" s="5" t="str">
        <f aca="false">IF(OR(BOM!$D324="",BOM!$R324="Cancelled"),"",IF(BOM!J324="","",BOM!J324))</f>
        <v/>
      </c>
      <c r="H318" s="5" t="str">
        <f aca="false">IF(OR(BOM!$D324="",BOM!$R324="Cancelled"),"",IF(BOM!K324="","",BOM!K324))</f>
        <v/>
      </c>
      <c r="I318" s="5" t="str">
        <f aca="false">IF(OR(BOM!$D324="",BOM!$R324="Cancelled"),"",IF(BOM!M324="","",BOM!M324))</f>
        <v/>
      </c>
      <c r="J318" s="5" t="str">
        <f aca="false">IF(OR(BOM!$D324="",BOM!$R324="Cancelled"),"",IF(OR(BOM!R324="Received",BOM!R324="NSW Purchased"),"Received",IF(BOM!R324="Purchased – Not Received","Ordered",IF(BOM!R324="Finalized – Not Purchased","Design Released","In Design"))))</f>
        <v/>
      </c>
      <c r="K318" s="52" t="str">
        <f aca="false">IF(OR(BOM!$D324="",BOM!$R324="Cancelled"),"",IF(BOM!W324="","",BOM!W324))</f>
        <v/>
      </c>
    </row>
    <row r="319" customFormat="false" ht="15" hidden="false" customHeight="false" outlineLevel="0" collapsed="false">
      <c r="A319" s="5" t="str">
        <f aca="false">IF(OR(BOM!$D325="",BOM!$R325="Cancelled"),"",IF(BOM!A325="","",BOM!A325))</f>
        <v/>
      </c>
      <c r="B319" s="5" t="str">
        <f aca="false">IF(OR(BOM!$D325="",BOM!$R325="Cancelled"),"",IF(BOM!B325="","",BOM!B325))</f>
        <v/>
      </c>
      <c r="C319" s="5" t="str">
        <f aca="false">IF(OR(BOM!$D325="",BOM!$R325="Cancelled"),"",IF(BOM!C325="","",BOM!C325))</f>
        <v/>
      </c>
      <c r="D319" s="5" t="str">
        <f aca="false">IF(OR(BOM!$D325="",BOM!$R325="Cancelled"),"",IF(BOM!D325="","",BOM!D325))</f>
        <v/>
      </c>
      <c r="E319" s="5" t="str">
        <f aca="false">IF(OR(BOM!$D325="",BOM!$R325="Cancelled"),"",IF(BOM!E325="","",BOM!E325))</f>
        <v/>
      </c>
      <c r="F319" s="5" t="str">
        <f aca="false">IF(OR(BOM!$D325="",BOM!$R325="Cancelled"),"",IF(BOM!F325="","",BOM!F325))</f>
        <v/>
      </c>
      <c r="G319" s="5" t="str">
        <f aca="false">IF(OR(BOM!$D325="",BOM!$R325="Cancelled"),"",IF(BOM!J325="","",BOM!J325))</f>
        <v/>
      </c>
      <c r="H319" s="5" t="str">
        <f aca="false">IF(OR(BOM!$D325="",BOM!$R325="Cancelled"),"",IF(BOM!K325="","",BOM!K325))</f>
        <v/>
      </c>
      <c r="I319" s="5" t="str">
        <f aca="false">IF(OR(BOM!$D325="",BOM!$R325="Cancelled"),"",IF(BOM!M325="","",BOM!M325))</f>
        <v/>
      </c>
      <c r="J319" s="5" t="str">
        <f aca="false">IF(OR(BOM!$D325="",BOM!$R325="Cancelled"),"",IF(OR(BOM!R325="Received",BOM!R325="NSW Purchased"),"Received",IF(BOM!R325="Purchased – Not Received","Ordered",IF(BOM!R325="Finalized – Not Purchased","Design Released","In Design"))))</f>
        <v/>
      </c>
      <c r="K319" s="52" t="str">
        <f aca="false">IF(OR(BOM!$D325="",BOM!$R325="Cancelled"),"",IF(BOM!W325="","",BOM!W325))</f>
        <v/>
      </c>
    </row>
    <row r="320" customFormat="false" ht="15" hidden="false" customHeight="false" outlineLevel="0" collapsed="false">
      <c r="A320" s="5" t="str">
        <f aca="false">IF(OR(BOM!$D326="",BOM!$R326="Cancelled"),"",IF(BOM!A326="","",BOM!A326))</f>
        <v/>
      </c>
      <c r="B320" s="5" t="str">
        <f aca="false">IF(OR(BOM!$D326="",BOM!$R326="Cancelled"),"",IF(BOM!B326="","",BOM!B326))</f>
        <v/>
      </c>
      <c r="C320" s="5" t="str">
        <f aca="false">IF(OR(BOM!$D326="",BOM!$R326="Cancelled"),"",IF(BOM!C326="","",BOM!C326))</f>
        <v/>
      </c>
      <c r="D320" s="5" t="str">
        <f aca="false">IF(OR(BOM!$D326="",BOM!$R326="Cancelled"),"",IF(BOM!D326="","",BOM!D326))</f>
        <v/>
      </c>
      <c r="E320" s="5" t="str">
        <f aca="false">IF(OR(BOM!$D326="",BOM!$R326="Cancelled"),"",IF(BOM!E326="","",BOM!E326))</f>
        <v/>
      </c>
      <c r="F320" s="5" t="str">
        <f aca="false">IF(OR(BOM!$D326="",BOM!$R326="Cancelled"),"",IF(BOM!F326="","",BOM!F326))</f>
        <v/>
      </c>
      <c r="G320" s="5" t="str">
        <f aca="false">IF(OR(BOM!$D326="",BOM!$R326="Cancelled"),"",IF(BOM!J326="","",BOM!J326))</f>
        <v/>
      </c>
      <c r="H320" s="5" t="str">
        <f aca="false">IF(OR(BOM!$D326="",BOM!$R326="Cancelled"),"",IF(BOM!K326="","",BOM!K326))</f>
        <v/>
      </c>
      <c r="I320" s="5" t="str">
        <f aca="false">IF(OR(BOM!$D326="",BOM!$R326="Cancelled"),"",IF(BOM!M326="","",BOM!M326))</f>
        <v/>
      </c>
      <c r="J320" s="5" t="str">
        <f aca="false">IF(OR(BOM!$D326="",BOM!$R326="Cancelled"),"",IF(OR(BOM!R326="Received",BOM!R326="NSW Purchased"),"Received",IF(BOM!R326="Purchased – Not Received","Ordered",IF(BOM!R326="Finalized – Not Purchased","Design Released","In Design"))))</f>
        <v/>
      </c>
      <c r="K320" s="52" t="str">
        <f aca="false">IF(OR(BOM!$D326="",BOM!$R326="Cancelled"),"",IF(BOM!W326="","",BOM!W326))</f>
        <v/>
      </c>
    </row>
    <row r="321" customFormat="false" ht="15" hidden="false" customHeight="false" outlineLevel="0" collapsed="false">
      <c r="A321" s="5" t="str">
        <f aca="false">IF(OR(BOM!$D327="",BOM!$R327="Cancelled"),"",IF(BOM!A327="","",BOM!A327))</f>
        <v/>
      </c>
      <c r="B321" s="5" t="str">
        <f aca="false">IF(OR(BOM!$D327="",BOM!$R327="Cancelled"),"",IF(BOM!B327="","",BOM!B327))</f>
        <v/>
      </c>
      <c r="C321" s="5" t="str">
        <f aca="false">IF(OR(BOM!$D327="",BOM!$R327="Cancelled"),"",IF(BOM!C327="","",BOM!C327))</f>
        <v/>
      </c>
      <c r="D321" s="5" t="str">
        <f aca="false">IF(OR(BOM!$D327="",BOM!$R327="Cancelled"),"",IF(BOM!D327="","",BOM!D327))</f>
        <v/>
      </c>
      <c r="E321" s="5" t="str">
        <f aca="false">IF(OR(BOM!$D327="",BOM!$R327="Cancelled"),"",IF(BOM!E327="","",BOM!E327))</f>
        <v/>
      </c>
      <c r="F321" s="5" t="str">
        <f aca="false">IF(OR(BOM!$D327="",BOM!$R327="Cancelled"),"",IF(BOM!F327="","",BOM!F327))</f>
        <v/>
      </c>
      <c r="G321" s="5" t="str">
        <f aca="false">IF(OR(BOM!$D327="",BOM!$R327="Cancelled"),"",IF(BOM!J327="","",BOM!J327))</f>
        <v/>
      </c>
      <c r="H321" s="5" t="str">
        <f aca="false">IF(OR(BOM!$D327="",BOM!$R327="Cancelled"),"",IF(BOM!K327="","",BOM!K327))</f>
        <v/>
      </c>
      <c r="I321" s="5" t="str">
        <f aca="false">IF(OR(BOM!$D327="",BOM!$R327="Cancelled"),"",IF(BOM!M327="","",BOM!M327))</f>
        <v/>
      </c>
      <c r="J321" s="5" t="str">
        <f aca="false">IF(OR(BOM!$D327="",BOM!$R327="Cancelled"),"",IF(OR(BOM!R327="Received",BOM!R327="NSW Purchased"),"Received",IF(BOM!R327="Purchased – Not Received","Ordered",IF(BOM!R327="Finalized – Not Purchased","Design Released","In Design"))))</f>
        <v/>
      </c>
      <c r="K321" s="52" t="str">
        <f aca="false">IF(OR(BOM!$D327="",BOM!$R327="Cancelled"),"",IF(BOM!W327="","",BOM!W327))</f>
        <v/>
      </c>
    </row>
    <row r="322" customFormat="false" ht="15" hidden="false" customHeight="false" outlineLevel="0" collapsed="false">
      <c r="A322" s="5" t="str">
        <f aca="false">IF(OR(BOM!$D328="",BOM!$R328="Cancelled"),"",IF(BOM!A328="","",BOM!A328))</f>
        <v/>
      </c>
      <c r="B322" s="5" t="str">
        <f aca="false">IF(OR(BOM!$D328="",BOM!$R328="Cancelled"),"",IF(BOM!B328="","",BOM!B328))</f>
        <v/>
      </c>
      <c r="C322" s="5" t="str">
        <f aca="false">IF(OR(BOM!$D328="",BOM!$R328="Cancelled"),"",IF(BOM!C328="","",BOM!C328))</f>
        <v/>
      </c>
      <c r="D322" s="5" t="str">
        <f aca="false">IF(OR(BOM!$D328="",BOM!$R328="Cancelled"),"",IF(BOM!D328="","",BOM!D328))</f>
        <v/>
      </c>
      <c r="E322" s="5" t="str">
        <f aca="false">IF(OR(BOM!$D328="",BOM!$R328="Cancelled"),"",IF(BOM!E328="","",BOM!E328))</f>
        <v/>
      </c>
      <c r="F322" s="5" t="str">
        <f aca="false">IF(OR(BOM!$D328="",BOM!$R328="Cancelled"),"",IF(BOM!F328="","",BOM!F328))</f>
        <v/>
      </c>
      <c r="G322" s="5" t="str">
        <f aca="false">IF(OR(BOM!$D328="",BOM!$R328="Cancelled"),"",IF(BOM!J328="","",BOM!J328))</f>
        <v/>
      </c>
      <c r="H322" s="5" t="str">
        <f aca="false">IF(OR(BOM!$D328="",BOM!$R328="Cancelled"),"",IF(BOM!K328="","",BOM!K328))</f>
        <v/>
      </c>
      <c r="I322" s="5" t="str">
        <f aca="false">IF(OR(BOM!$D328="",BOM!$R328="Cancelled"),"",IF(BOM!M328="","",BOM!M328))</f>
        <v/>
      </c>
      <c r="J322" s="5" t="str">
        <f aca="false">IF(OR(BOM!$D328="",BOM!$R328="Cancelled"),"",IF(OR(BOM!R328="Received",BOM!R328="NSW Purchased"),"Received",IF(BOM!R328="Purchased – Not Received","Ordered",IF(BOM!R328="Finalized – Not Purchased","Design Released","In Design"))))</f>
        <v/>
      </c>
      <c r="K322" s="52" t="str">
        <f aca="false">IF(OR(BOM!$D328="",BOM!$R328="Cancelled"),"",IF(BOM!W328="","",BOM!W328))</f>
        <v/>
      </c>
    </row>
    <row r="323" customFormat="false" ht="15" hidden="false" customHeight="false" outlineLevel="0" collapsed="false">
      <c r="A323" s="5" t="str">
        <f aca="false">IF(OR(BOM!$D329="",BOM!$R329="Cancelled"),"",IF(BOM!A329="","",BOM!A329))</f>
        <v/>
      </c>
      <c r="B323" s="5" t="str">
        <f aca="false">IF(OR(BOM!$D329="",BOM!$R329="Cancelled"),"",IF(BOM!B329="","",BOM!B329))</f>
        <v/>
      </c>
      <c r="C323" s="5" t="str">
        <f aca="false">IF(OR(BOM!$D329="",BOM!$R329="Cancelled"),"",IF(BOM!C329="","",BOM!C329))</f>
        <v/>
      </c>
      <c r="D323" s="5" t="str">
        <f aca="false">IF(OR(BOM!$D329="",BOM!$R329="Cancelled"),"",IF(BOM!D329="","",BOM!D329))</f>
        <v/>
      </c>
      <c r="E323" s="5" t="str">
        <f aca="false">IF(OR(BOM!$D329="",BOM!$R329="Cancelled"),"",IF(BOM!E329="","",BOM!E329))</f>
        <v/>
      </c>
      <c r="F323" s="5" t="str">
        <f aca="false">IF(OR(BOM!$D329="",BOM!$R329="Cancelled"),"",IF(BOM!F329="","",BOM!F329))</f>
        <v/>
      </c>
      <c r="G323" s="5" t="str">
        <f aca="false">IF(OR(BOM!$D329="",BOM!$R329="Cancelled"),"",IF(BOM!J329="","",BOM!J329))</f>
        <v/>
      </c>
      <c r="H323" s="5" t="str">
        <f aca="false">IF(OR(BOM!$D329="",BOM!$R329="Cancelled"),"",IF(BOM!K329="","",BOM!K329))</f>
        <v/>
      </c>
      <c r="I323" s="5" t="str">
        <f aca="false">IF(OR(BOM!$D329="",BOM!$R329="Cancelled"),"",IF(BOM!M329="","",BOM!M329))</f>
        <v/>
      </c>
      <c r="J323" s="5" t="str">
        <f aca="false">IF(OR(BOM!$D329="",BOM!$R329="Cancelled"),"",IF(OR(BOM!R329="Received",BOM!R329="NSW Purchased"),"Received",IF(BOM!R329="Purchased – Not Received","Ordered",IF(BOM!R329="Finalized – Not Purchased","Design Released","In Design"))))</f>
        <v/>
      </c>
      <c r="K323" s="52" t="str">
        <f aca="false">IF(OR(BOM!$D329="",BOM!$R329="Cancelled"),"",IF(BOM!W329="","",BOM!W329))</f>
        <v/>
      </c>
    </row>
    <row r="324" customFormat="false" ht="15" hidden="false" customHeight="false" outlineLevel="0" collapsed="false">
      <c r="A324" s="5" t="str">
        <f aca="false">IF(OR(BOM!$D330="",BOM!$R330="Cancelled"),"",IF(BOM!A330="","",BOM!A330))</f>
        <v/>
      </c>
      <c r="B324" s="5" t="str">
        <f aca="false">IF(OR(BOM!$D330="",BOM!$R330="Cancelled"),"",IF(BOM!B330="","",BOM!B330))</f>
        <v/>
      </c>
      <c r="C324" s="5" t="str">
        <f aca="false">IF(OR(BOM!$D330="",BOM!$R330="Cancelled"),"",IF(BOM!C330="","",BOM!C330))</f>
        <v/>
      </c>
      <c r="D324" s="5" t="str">
        <f aca="false">IF(OR(BOM!$D330="",BOM!$R330="Cancelled"),"",IF(BOM!D330="","",BOM!D330))</f>
        <v/>
      </c>
      <c r="E324" s="5" t="str">
        <f aca="false">IF(OR(BOM!$D330="",BOM!$R330="Cancelled"),"",IF(BOM!E330="","",BOM!E330))</f>
        <v/>
      </c>
      <c r="F324" s="5" t="str">
        <f aca="false">IF(OR(BOM!$D330="",BOM!$R330="Cancelled"),"",IF(BOM!F330="","",BOM!F330))</f>
        <v/>
      </c>
      <c r="G324" s="5" t="str">
        <f aca="false">IF(OR(BOM!$D330="",BOM!$R330="Cancelled"),"",IF(BOM!J330="","",BOM!J330))</f>
        <v/>
      </c>
      <c r="H324" s="5" t="str">
        <f aca="false">IF(OR(BOM!$D330="",BOM!$R330="Cancelled"),"",IF(BOM!K330="","",BOM!K330))</f>
        <v/>
      </c>
      <c r="I324" s="5" t="str">
        <f aca="false">IF(OR(BOM!$D330="",BOM!$R330="Cancelled"),"",IF(BOM!M330="","",BOM!M330))</f>
        <v/>
      </c>
      <c r="J324" s="5" t="str">
        <f aca="false">IF(OR(BOM!$D330="",BOM!$R330="Cancelled"),"",IF(OR(BOM!R330="Received",BOM!R330="NSW Purchased"),"Received",IF(BOM!R330="Purchased – Not Received","Ordered",IF(BOM!R330="Finalized – Not Purchased","Design Released","In Design"))))</f>
        <v/>
      </c>
      <c r="K324" s="52" t="str">
        <f aca="false">IF(OR(BOM!$D330="",BOM!$R330="Cancelled"),"",IF(BOM!W330="","",BOM!W330))</f>
        <v/>
      </c>
    </row>
    <row r="325" customFormat="false" ht="15" hidden="false" customHeight="false" outlineLevel="0" collapsed="false">
      <c r="A325" s="5" t="str">
        <f aca="false">IF(OR(BOM!$D331="",BOM!$R331="Cancelled"),"",IF(BOM!A331="","",BOM!A331))</f>
        <v/>
      </c>
      <c r="B325" s="5" t="str">
        <f aca="false">IF(OR(BOM!$D331="",BOM!$R331="Cancelled"),"",IF(BOM!B331="","",BOM!B331))</f>
        <v/>
      </c>
      <c r="C325" s="5" t="str">
        <f aca="false">IF(OR(BOM!$D331="",BOM!$R331="Cancelled"),"",IF(BOM!C331="","",BOM!C331))</f>
        <v/>
      </c>
      <c r="D325" s="5" t="str">
        <f aca="false">IF(OR(BOM!$D331="",BOM!$R331="Cancelled"),"",IF(BOM!D331="","",BOM!D331))</f>
        <v/>
      </c>
      <c r="E325" s="5" t="str">
        <f aca="false">IF(OR(BOM!$D331="",BOM!$R331="Cancelled"),"",IF(BOM!E331="","",BOM!E331))</f>
        <v/>
      </c>
      <c r="F325" s="5" t="str">
        <f aca="false">IF(OR(BOM!$D331="",BOM!$R331="Cancelled"),"",IF(BOM!F331="","",BOM!F331))</f>
        <v/>
      </c>
      <c r="G325" s="5" t="str">
        <f aca="false">IF(OR(BOM!$D331="",BOM!$R331="Cancelled"),"",IF(BOM!J331="","",BOM!J331))</f>
        <v/>
      </c>
      <c r="H325" s="5" t="str">
        <f aca="false">IF(OR(BOM!$D331="",BOM!$R331="Cancelled"),"",IF(BOM!K331="","",BOM!K331))</f>
        <v/>
      </c>
      <c r="I325" s="5" t="str">
        <f aca="false">IF(OR(BOM!$D331="",BOM!$R331="Cancelled"),"",IF(BOM!M331="","",BOM!M331))</f>
        <v/>
      </c>
      <c r="J325" s="5" t="str">
        <f aca="false">IF(OR(BOM!$D331="",BOM!$R331="Cancelled"),"",IF(OR(BOM!R331="Received",BOM!R331="NSW Purchased"),"Received",IF(BOM!R331="Purchased – Not Received","Ordered",IF(BOM!R331="Finalized – Not Purchased","Design Released","In Design"))))</f>
        <v/>
      </c>
      <c r="K325" s="52" t="str">
        <f aca="false">IF(OR(BOM!$D331="",BOM!$R331="Cancelled"),"",IF(BOM!W331="","",BOM!W331))</f>
        <v/>
      </c>
    </row>
    <row r="326" customFormat="false" ht="15" hidden="false" customHeight="false" outlineLevel="0" collapsed="false">
      <c r="A326" s="5" t="str">
        <f aca="false">IF(OR(BOM!$D332="",BOM!$R332="Cancelled"),"",IF(BOM!A332="","",BOM!A332))</f>
        <v/>
      </c>
      <c r="B326" s="5" t="str">
        <f aca="false">IF(OR(BOM!$D332="",BOM!$R332="Cancelled"),"",IF(BOM!B332="","",BOM!B332))</f>
        <v/>
      </c>
      <c r="C326" s="5" t="str">
        <f aca="false">IF(OR(BOM!$D332="",BOM!$R332="Cancelled"),"",IF(BOM!C332="","",BOM!C332))</f>
        <v/>
      </c>
      <c r="D326" s="5" t="str">
        <f aca="false">IF(OR(BOM!$D332="",BOM!$R332="Cancelled"),"",IF(BOM!D332="","",BOM!D332))</f>
        <v/>
      </c>
      <c r="E326" s="5" t="str">
        <f aca="false">IF(OR(BOM!$D332="",BOM!$R332="Cancelled"),"",IF(BOM!E332="","",BOM!E332))</f>
        <v/>
      </c>
      <c r="F326" s="5" t="str">
        <f aca="false">IF(OR(BOM!$D332="",BOM!$R332="Cancelled"),"",IF(BOM!F332="","",BOM!F332))</f>
        <v/>
      </c>
      <c r="G326" s="5" t="str">
        <f aca="false">IF(OR(BOM!$D332="",BOM!$R332="Cancelled"),"",IF(BOM!J332="","",BOM!J332))</f>
        <v/>
      </c>
      <c r="H326" s="5" t="str">
        <f aca="false">IF(OR(BOM!$D332="",BOM!$R332="Cancelled"),"",IF(BOM!K332="","",BOM!K332))</f>
        <v/>
      </c>
      <c r="I326" s="5" t="str">
        <f aca="false">IF(OR(BOM!$D332="",BOM!$R332="Cancelled"),"",IF(BOM!M332="","",BOM!M332))</f>
        <v/>
      </c>
      <c r="J326" s="5" t="str">
        <f aca="false">IF(OR(BOM!$D332="",BOM!$R332="Cancelled"),"",IF(OR(BOM!R332="Received",BOM!R332="NSW Purchased"),"Received",IF(BOM!R332="Purchased – Not Received","Ordered",IF(BOM!R332="Finalized – Not Purchased","Design Released","In Design"))))</f>
        <v/>
      </c>
      <c r="K326" s="52" t="str">
        <f aca="false">IF(OR(BOM!$D332="",BOM!$R332="Cancelled"),"",IF(BOM!W332="","",BOM!W332))</f>
        <v/>
      </c>
    </row>
    <row r="327" customFormat="false" ht="15" hidden="false" customHeight="false" outlineLevel="0" collapsed="false">
      <c r="A327" s="5" t="str">
        <f aca="false">IF(OR(BOM!$D333="",BOM!$R333="Cancelled"),"",IF(BOM!A333="","",BOM!A333))</f>
        <v/>
      </c>
      <c r="B327" s="5" t="str">
        <f aca="false">IF(OR(BOM!$D333="",BOM!$R333="Cancelled"),"",IF(BOM!B333="","",BOM!B333))</f>
        <v/>
      </c>
      <c r="C327" s="5" t="str">
        <f aca="false">IF(OR(BOM!$D333="",BOM!$R333="Cancelled"),"",IF(BOM!C333="","",BOM!C333))</f>
        <v/>
      </c>
      <c r="D327" s="5" t="str">
        <f aca="false">IF(OR(BOM!$D333="",BOM!$R333="Cancelled"),"",IF(BOM!D333="","",BOM!D333))</f>
        <v/>
      </c>
      <c r="E327" s="5" t="str">
        <f aca="false">IF(OR(BOM!$D333="",BOM!$R333="Cancelled"),"",IF(BOM!E333="","",BOM!E333))</f>
        <v/>
      </c>
      <c r="F327" s="5" t="str">
        <f aca="false">IF(OR(BOM!$D333="",BOM!$R333="Cancelled"),"",IF(BOM!F333="","",BOM!F333))</f>
        <v/>
      </c>
      <c r="G327" s="5" t="str">
        <f aca="false">IF(OR(BOM!$D333="",BOM!$R333="Cancelled"),"",IF(BOM!J333="","",BOM!J333))</f>
        <v/>
      </c>
      <c r="H327" s="5" t="str">
        <f aca="false">IF(OR(BOM!$D333="",BOM!$R333="Cancelled"),"",IF(BOM!K333="","",BOM!K333))</f>
        <v/>
      </c>
      <c r="I327" s="5" t="str">
        <f aca="false">IF(OR(BOM!$D333="",BOM!$R333="Cancelled"),"",IF(BOM!M333="","",BOM!M333))</f>
        <v/>
      </c>
      <c r="J327" s="5" t="str">
        <f aca="false">IF(OR(BOM!$D333="",BOM!$R333="Cancelled"),"",IF(OR(BOM!R333="Received",BOM!R333="NSW Purchased"),"Received",IF(BOM!R333="Purchased – Not Received","Ordered",IF(BOM!R333="Finalized – Not Purchased","Design Released","In Design"))))</f>
        <v/>
      </c>
      <c r="K327" s="52" t="str">
        <f aca="false">IF(OR(BOM!$D333="",BOM!$R333="Cancelled"),"",IF(BOM!W333="","",BOM!W333))</f>
        <v/>
      </c>
    </row>
    <row r="328" customFormat="false" ht="15" hidden="false" customHeight="false" outlineLevel="0" collapsed="false">
      <c r="A328" s="5" t="str">
        <f aca="false">IF(OR(BOM!$D334="",BOM!$R334="Cancelled"),"",IF(BOM!A334="","",BOM!A334))</f>
        <v/>
      </c>
      <c r="B328" s="5" t="str">
        <f aca="false">IF(OR(BOM!$D334="",BOM!$R334="Cancelled"),"",IF(BOM!B334="","",BOM!B334))</f>
        <v/>
      </c>
      <c r="C328" s="5" t="str">
        <f aca="false">IF(OR(BOM!$D334="",BOM!$R334="Cancelled"),"",IF(BOM!C334="","",BOM!C334))</f>
        <v/>
      </c>
      <c r="D328" s="5" t="str">
        <f aca="false">IF(OR(BOM!$D334="",BOM!$R334="Cancelled"),"",IF(BOM!D334="","",BOM!D334))</f>
        <v/>
      </c>
      <c r="E328" s="5" t="str">
        <f aca="false">IF(OR(BOM!$D334="",BOM!$R334="Cancelled"),"",IF(BOM!E334="","",BOM!E334))</f>
        <v/>
      </c>
      <c r="F328" s="5" t="str">
        <f aca="false">IF(OR(BOM!$D334="",BOM!$R334="Cancelled"),"",IF(BOM!F334="","",BOM!F334))</f>
        <v/>
      </c>
      <c r="G328" s="5" t="str">
        <f aca="false">IF(OR(BOM!$D334="",BOM!$R334="Cancelled"),"",IF(BOM!J334="","",BOM!J334))</f>
        <v/>
      </c>
      <c r="H328" s="5" t="str">
        <f aca="false">IF(OR(BOM!$D334="",BOM!$R334="Cancelled"),"",IF(BOM!K334="","",BOM!K334))</f>
        <v/>
      </c>
      <c r="I328" s="5" t="str">
        <f aca="false">IF(OR(BOM!$D334="",BOM!$R334="Cancelled"),"",IF(BOM!M334="","",BOM!M334))</f>
        <v/>
      </c>
      <c r="J328" s="5" t="str">
        <f aca="false">IF(OR(BOM!$D334="",BOM!$R334="Cancelled"),"",IF(OR(BOM!R334="Received",BOM!R334="NSW Purchased"),"Received",IF(BOM!R334="Purchased – Not Received","Ordered",IF(BOM!R334="Finalized – Not Purchased","Design Released","In Design"))))</f>
        <v/>
      </c>
      <c r="K328" s="52" t="str">
        <f aca="false">IF(OR(BOM!$D334="",BOM!$R334="Cancelled"),"",IF(BOM!W334="","",BOM!W334))</f>
        <v/>
      </c>
    </row>
    <row r="329" customFormat="false" ht="15" hidden="false" customHeight="false" outlineLevel="0" collapsed="false">
      <c r="A329" s="5" t="str">
        <f aca="false">IF(OR(BOM!$D335="",BOM!$R335="Cancelled"),"",IF(BOM!A335="","",BOM!A335))</f>
        <v/>
      </c>
      <c r="B329" s="5" t="str">
        <f aca="false">IF(OR(BOM!$D335="",BOM!$R335="Cancelled"),"",IF(BOM!B335="","",BOM!B335))</f>
        <v/>
      </c>
      <c r="C329" s="5" t="str">
        <f aca="false">IF(OR(BOM!$D335="",BOM!$R335="Cancelled"),"",IF(BOM!C335="","",BOM!C335))</f>
        <v/>
      </c>
      <c r="D329" s="5" t="str">
        <f aca="false">IF(OR(BOM!$D335="",BOM!$R335="Cancelled"),"",IF(BOM!D335="","",BOM!D335))</f>
        <v/>
      </c>
      <c r="E329" s="5" t="str">
        <f aca="false">IF(OR(BOM!$D335="",BOM!$R335="Cancelled"),"",IF(BOM!E335="","",BOM!E335))</f>
        <v/>
      </c>
      <c r="F329" s="5" t="str">
        <f aca="false">IF(OR(BOM!$D335="",BOM!$R335="Cancelled"),"",IF(BOM!F335="","",BOM!F335))</f>
        <v/>
      </c>
      <c r="G329" s="5" t="str">
        <f aca="false">IF(OR(BOM!$D335="",BOM!$R335="Cancelled"),"",IF(BOM!J335="","",BOM!J335))</f>
        <v/>
      </c>
      <c r="H329" s="5" t="str">
        <f aca="false">IF(OR(BOM!$D335="",BOM!$R335="Cancelled"),"",IF(BOM!K335="","",BOM!K335))</f>
        <v/>
      </c>
      <c r="I329" s="5" t="str">
        <f aca="false">IF(OR(BOM!$D335="",BOM!$R335="Cancelled"),"",IF(BOM!M335="","",BOM!M335))</f>
        <v/>
      </c>
      <c r="J329" s="5" t="str">
        <f aca="false">IF(OR(BOM!$D335="",BOM!$R335="Cancelled"),"",IF(OR(BOM!R335="Received",BOM!R335="NSW Purchased"),"Received",IF(BOM!R335="Purchased – Not Received","Ordered",IF(BOM!R335="Finalized – Not Purchased","Design Released","In Design"))))</f>
        <v/>
      </c>
      <c r="K329" s="52" t="str">
        <f aca="false">IF(OR(BOM!$D335="",BOM!$R335="Cancelled"),"",IF(BOM!W335="","",BOM!W335))</f>
        <v/>
      </c>
    </row>
    <row r="330" customFormat="false" ht="15" hidden="false" customHeight="false" outlineLevel="0" collapsed="false">
      <c r="A330" s="5" t="str">
        <f aca="false">IF(OR(BOM!$D336="",BOM!$R336="Cancelled"),"",IF(BOM!A336="","",BOM!A336))</f>
        <v/>
      </c>
      <c r="B330" s="5" t="str">
        <f aca="false">IF(OR(BOM!$D336="",BOM!$R336="Cancelled"),"",IF(BOM!B336="","",BOM!B336))</f>
        <v/>
      </c>
      <c r="C330" s="5" t="str">
        <f aca="false">IF(OR(BOM!$D336="",BOM!$R336="Cancelled"),"",IF(BOM!C336="","",BOM!C336))</f>
        <v/>
      </c>
      <c r="D330" s="5" t="str">
        <f aca="false">IF(OR(BOM!$D336="",BOM!$R336="Cancelled"),"",IF(BOM!D336="","",BOM!D336))</f>
        <v/>
      </c>
      <c r="E330" s="5" t="str">
        <f aca="false">IF(OR(BOM!$D336="",BOM!$R336="Cancelled"),"",IF(BOM!E336="","",BOM!E336))</f>
        <v/>
      </c>
      <c r="F330" s="5" t="str">
        <f aca="false">IF(OR(BOM!$D336="",BOM!$R336="Cancelled"),"",IF(BOM!F336="","",BOM!F336))</f>
        <v/>
      </c>
      <c r="G330" s="5" t="str">
        <f aca="false">IF(OR(BOM!$D336="",BOM!$R336="Cancelled"),"",IF(BOM!J336="","",BOM!J336))</f>
        <v/>
      </c>
      <c r="H330" s="5" t="str">
        <f aca="false">IF(OR(BOM!$D336="",BOM!$R336="Cancelled"),"",IF(BOM!K336="","",BOM!K336))</f>
        <v/>
      </c>
      <c r="I330" s="5" t="str">
        <f aca="false">IF(OR(BOM!$D336="",BOM!$R336="Cancelled"),"",IF(BOM!M336="","",BOM!M336))</f>
        <v/>
      </c>
      <c r="J330" s="5" t="str">
        <f aca="false">IF(OR(BOM!$D336="",BOM!$R336="Cancelled"),"",IF(OR(BOM!R336="Received",BOM!R336="NSW Purchased"),"Received",IF(BOM!R336="Purchased – Not Received","Ordered",IF(BOM!R336="Finalized – Not Purchased","Design Released","In Design"))))</f>
        <v/>
      </c>
      <c r="K330" s="52" t="str">
        <f aca="false">IF(OR(BOM!$D336="",BOM!$R336="Cancelled"),"",IF(BOM!W336="","",BOM!W336))</f>
        <v/>
      </c>
    </row>
    <row r="331" customFormat="false" ht="15" hidden="false" customHeight="false" outlineLevel="0" collapsed="false">
      <c r="A331" s="5" t="str">
        <f aca="false">IF(OR(BOM!$D337="",BOM!$R337="Cancelled"),"",IF(BOM!A337="","",BOM!A337))</f>
        <v/>
      </c>
      <c r="B331" s="5" t="str">
        <f aca="false">IF(OR(BOM!$D337="",BOM!$R337="Cancelled"),"",IF(BOM!B337="","",BOM!B337))</f>
        <v/>
      </c>
      <c r="C331" s="5" t="str">
        <f aca="false">IF(OR(BOM!$D337="",BOM!$R337="Cancelled"),"",IF(BOM!C337="","",BOM!C337))</f>
        <v/>
      </c>
      <c r="D331" s="5" t="str">
        <f aca="false">IF(OR(BOM!$D337="",BOM!$R337="Cancelled"),"",IF(BOM!D337="","",BOM!D337))</f>
        <v/>
      </c>
      <c r="E331" s="5" t="str">
        <f aca="false">IF(OR(BOM!$D337="",BOM!$R337="Cancelled"),"",IF(BOM!E337="","",BOM!E337))</f>
        <v/>
      </c>
      <c r="F331" s="5" t="str">
        <f aca="false">IF(OR(BOM!$D337="",BOM!$R337="Cancelled"),"",IF(BOM!F337="","",BOM!F337))</f>
        <v/>
      </c>
      <c r="G331" s="5" t="str">
        <f aca="false">IF(OR(BOM!$D337="",BOM!$R337="Cancelled"),"",IF(BOM!J337="","",BOM!J337))</f>
        <v/>
      </c>
      <c r="H331" s="5" t="str">
        <f aca="false">IF(OR(BOM!$D337="",BOM!$R337="Cancelled"),"",IF(BOM!K337="","",BOM!K337))</f>
        <v/>
      </c>
      <c r="I331" s="5" t="str">
        <f aca="false">IF(OR(BOM!$D337="",BOM!$R337="Cancelled"),"",IF(BOM!M337="","",BOM!M337))</f>
        <v/>
      </c>
      <c r="J331" s="5" t="str">
        <f aca="false">IF(OR(BOM!$D337="",BOM!$R337="Cancelled"),"",IF(OR(BOM!R337="Received",BOM!R337="NSW Purchased"),"Received",IF(BOM!R337="Purchased – Not Received","Ordered",IF(BOM!R337="Finalized – Not Purchased","Design Released","In Design"))))</f>
        <v/>
      </c>
      <c r="K331" s="52" t="str">
        <f aca="false">IF(OR(BOM!$D337="",BOM!$R337="Cancelled"),"",IF(BOM!W337="","",BOM!W337))</f>
        <v/>
      </c>
    </row>
    <row r="332" customFormat="false" ht="15" hidden="false" customHeight="false" outlineLevel="0" collapsed="false">
      <c r="A332" s="5" t="str">
        <f aca="false">IF(OR(BOM!$D338="",BOM!$R338="Cancelled"),"",IF(BOM!A338="","",BOM!A338))</f>
        <v/>
      </c>
      <c r="B332" s="5" t="str">
        <f aca="false">IF(OR(BOM!$D338="",BOM!$R338="Cancelled"),"",IF(BOM!B338="","",BOM!B338))</f>
        <v/>
      </c>
      <c r="C332" s="5" t="str">
        <f aca="false">IF(OR(BOM!$D338="",BOM!$R338="Cancelled"),"",IF(BOM!C338="","",BOM!C338))</f>
        <v/>
      </c>
      <c r="D332" s="5" t="str">
        <f aca="false">IF(OR(BOM!$D338="",BOM!$R338="Cancelled"),"",IF(BOM!D338="","",BOM!D338))</f>
        <v/>
      </c>
      <c r="E332" s="5" t="str">
        <f aca="false">IF(OR(BOM!$D338="",BOM!$R338="Cancelled"),"",IF(BOM!E338="","",BOM!E338))</f>
        <v/>
      </c>
      <c r="F332" s="5" t="str">
        <f aca="false">IF(OR(BOM!$D338="",BOM!$R338="Cancelled"),"",IF(BOM!F338="","",BOM!F338))</f>
        <v/>
      </c>
      <c r="G332" s="5" t="str">
        <f aca="false">IF(OR(BOM!$D338="",BOM!$R338="Cancelled"),"",IF(BOM!J338="","",BOM!J338))</f>
        <v/>
      </c>
      <c r="H332" s="5" t="str">
        <f aca="false">IF(OR(BOM!$D338="",BOM!$R338="Cancelled"),"",IF(BOM!K338="","",BOM!K338))</f>
        <v/>
      </c>
      <c r="I332" s="5" t="str">
        <f aca="false">IF(OR(BOM!$D338="",BOM!$R338="Cancelled"),"",IF(BOM!M338="","",BOM!M338))</f>
        <v/>
      </c>
      <c r="J332" s="5" t="str">
        <f aca="false">IF(OR(BOM!$D338="",BOM!$R338="Cancelled"),"",IF(OR(BOM!R338="Received",BOM!R338="NSW Purchased"),"Received",IF(BOM!R338="Purchased – Not Received","Ordered",IF(BOM!R338="Finalized – Not Purchased","Design Released","In Design"))))</f>
        <v/>
      </c>
      <c r="K332" s="52" t="str">
        <f aca="false">IF(OR(BOM!$D338="",BOM!$R338="Cancelled"),"",IF(BOM!W338="","",BOM!W338))</f>
        <v/>
      </c>
    </row>
    <row r="333" customFormat="false" ht="15" hidden="false" customHeight="false" outlineLevel="0" collapsed="false">
      <c r="A333" s="5" t="str">
        <f aca="false">IF(OR(BOM!$D339="",BOM!$R339="Cancelled"),"",IF(BOM!A339="","",BOM!A339))</f>
        <v/>
      </c>
      <c r="B333" s="5" t="str">
        <f aca="false">IF(OR(BOM!$D339="",BOM!$R339="Cancelled"),"",IF(BOM!B339="","",BOM!B339))</f>
        <v/>
      </c>
      <c r="C333" s="5" t="str">
        <f aca="false">IF(OR(BOM!$D339="",BOM!$R339="Cancelled"),"",IF(BOM!C339="","",BOM!C339))</f>
        <v/>
      </c>
      <c r="D333" s="5" t="str">
        <f aca="false">IF(OR(BOM!$D339="",BOM!$R339="Cancelled"),"",IF(BOM!D339="","",BOM!D339))</f>
        <v/>
      </c>
      <c r="E333" s="5" t="str">
        <f aca="false">IF(OR(BOM!$D339="",BOM!$R339="Cancelled"),"",IF(BOM!E339="","",BOM!E339))</f>
        <v/>
      </c>
      <c r="F333" s="5" t="str">
        <f aca="false">IF(OR(BOM!$D339="",BOM!$R339="Cancelled"),"",IF(BOM!F339="","",BOM!F339))</f>
        <v/>
      </c>
      <c r="G333" s="5" t="str">
        <f aca="false">IF(OR(BOM!$D339="",BOM!$R339="Cancelled"),"",IF(BOM!J339="","",BOM!J339))</f>
        <v/>
      </c>
      <c r="H333" s="5" t="str">
        <f aca="false">IF(OR(BOM!$D339="",BOM!$R339="Cancelled"),"",IF(BOM!K339="","",BOM!K339))</f>
        <v/>
      </c>
      <c r="I333" s="5" t="str">
        <f aca="false">IF(OR(BOM!$D339="",BOM!$R339="Cancelled"),"",IF(BOM!M339="","",BOM!M339))</f>
        <v/>
      </c>
      <c r="J333" s="5" t="str">
        <f aca="false">IF(OR(BOM!$D339="",BOM!$R339="Cancelled"),"",IF(OR(BOM!R339="Received",BOM!R339="NSW Purchased"),"Received",IF(BOM!R339="Purchased – Not Received","Ordered",IF(BOM!R339="Finalized – Not Purchased","Design Released","In Design"))))</f>
        <v/>
      </c>
      <c r="K333" s="52" t="str">
        <f aca="false">IF(OR(BOM!$D339="",BOM!$R339="Cancelled"),"",IF(BOM!W339="","",BOM!W339))</f>
        <v/>
      </c>
    </row>
    <row r="334" customFormat="false" ht="15" hidden="false" customHeight="false" outlineLevel="0" collapsed="false">
      <c r="A334" s="5" t="str">
        <f aca="false">IF(OR(BOM!$D340="",BOM!$R340="Cancelled"),"",IF(BOM!A340="","",BOM!A340))</f>
        <v/>
      </c>
      <c r="B334" s="5" t="str">
        <f aca="false">IF(OR(BOM!$D340="",BOM!$R340="Cancelled"),"",IF(BOM!B340="","",BOM!B340))</f>
        <v/>
      </c>
      <c r="C334" s="5" t="str">
        <f aca="false">IF(OR(BOM!$D340="",BOM!$R340="Cancelled"),"",IF(BOM!C340="","",BOM!C340))</f>
        <v/>
      </c>
      <c r="D334" s="5" t="str">
        <f aca="false">IF(OR(BOM!$D340="",BOM!$R340="Cancelled"),"",IF(BOM!D340="","",BOM!D340))</f>
        <v/>
      </c>
      <c r="E334" s="5" t="str">
        <f aca="false">IF(OR(BOM!$D340="",BOM!$R340="Cancelled"),"",IF(BOM!E340="","",BOM!E340))</f>
        <v/>
      </c>
      <c r="F334" s="5" t="str">
        <f aca="false">IF(OR(BOM!$D340="",BOM!$R340="Cancelled"),"",IF(BOM!F340="","",BOM!F340))</f>
        <v/>
      </c>
      <c r="G334" s="5" t="str">
        <f aca="false">IF(OR(BOM!$D340="",BOM!$R340="Cancelled"),"",IF(BOM!J340="","",BOM!J340))</f>
        <v/>
      </c>
      <c r="H334" s="5" t="str">
        <f aca="false">IF(OR(BOM!$D340="",BOM!$R340="Cancelled"),"",IF(BOM!K340="","",BOM!K340))</f>
        <v/>
      </c>
      <c r="I334" s="5" t="str">
        <f aca="false">IF(OR(BOM!$D340="",BOM!$R340="Cancelled"),"",IF(BOM!M340="","",BOM!M340))</f>
        <v/>
      </c>
      <c r="J334" s="5" t="str">
        <f aca="false">IF(OR(BOM!$D340="",BOM!$R340="Cancelled"),"",IF(OR(BOM!R340="Received",BOM!R340="NSW Purchased"),"Received",IF(BOM!R340="Purchased – Not Received","Ordered",IF(BOM!R340="Finalized – Not Purchased","Design Released","In Design"))))</f>
        <v/>
      </c>
      <c r="K334" s="52" t="str">
        <f aca="false">IF(OR(BOM!$D340="",BOM!$R340="Cancelled"),"",IF(BOM!W340="","",BOM!W340))</f>
        <v/>
      </c>
    </row>
    <row r="335" customFormat="false" ht="15" hidden="false" customHeight="false" outlineLevel="0" collapsed="false">
      <c r="A335" s="5" t="str">
        <f aca="false">IF(OR(BOM!$D341="",BOM!$R341="Cancelled"),"",IF(BOM!A341="","",BOM!A341))</f>
        <v/>
      </c>
      <c r="B335" s="5" t="str">
        <f aca="false">IF(OR(BOM!$D341="",BOM!$R341="Cancelled"),"",IF(BOM!B341="","",BOM!B341))</f>
        <v/>
      </c>
      <c r="C335" s="5" t="str">
        <f aca="false">IF(OR(BOM!$D341="",BOM!$R341="Cancelled"),"",IF(BOM!C341="","",BOM!C341))</f>
        <v/>
      </c>
      <c r="D335" s="5" t="str">
        <f aca="false">IF(OR(BOM!$D341="",BOM!$R341="Cancelled"),"",IF(BOM!D341="","",BOM!D341))</f>
        <v/>
      </c>
      <c r="E335" s="5" t="str">
        <f aca="false">IF(OR(BOM!$D341="",BOM!$R341="Cancelled"),"",IF(BOM!E341="","",BOM!E341))</f>
        <v/>
      </c>
      <c r="F335" s="5" t="str">
        <f aca="false">IF(OR(BOM!$D341="",BOM!$R341="Cancelled"),"",IF(BOM!F341="","",BOM!F341))</f>
        <v/>
      </c>
      <c r="G335" s="5" t="str">
        <f aca="false">IF(OR(BOM!$D341="",BOM!$R341="Cancelled"),"",IF(BOM!J341="","",BOM!J341))</f>
        <v/>
      </c>
      <c r="H335" s="5" t="str">
        <f aca="false">IF(OR(BOM!$D341="",BOM!$R341="Cancelled"),"",IF(BOM!K341="","",BOM!K341))</f>
        <v/>
      </c>
      <c r="I335" s="5" t="str">
        <f aca="false">IF(OR(BOM!$D341="",BOM!$R341="Cancelled"),"",IF(BOM!M341="","",BOM!M341))</f>
        <v/>
      </c>
      <c r="J335" s="5" t="str">
        <f aca="false">IF(OR(BOM!$D341="",BOM!$R341="Cancelled"),"",IF(OR(BOM!R341="Received",BOM!R341="NSW Purchased"),"Received",IF(BOM!R341="Purchased – Not Received","Ordered",IF(BOM!R341="Finalized – Not Purchased","Design Released","In Design"))))</f>
        <v/>
      </c>
      <c r="K335" s="52" t="str">
        <f aca="false">IF(OR(BOM!$D341="",BOM!$R341="Cancelled"),"",IF(BOM!W341="","",BOM!W341))</f>
        <v/>
      </c>
    </row>
    <row r="336" customFormat="false" ht="15" hidden="false" customHeight="false" outlineLevel="0" collapsed="false">
      <c r="A336" s="5" t="str">
        <f aca="false">IF(OR(BOM!$D342="",BOM!$R342="Cancelled"),"",IF(BOM!A342="","",BOM!A342))</f>
        <v/>
      </c>
      <c r="B336" s="5" t="str">
        <f aca="false">IF(OR(BOM!$D342="",BOM!$R342="Cancelled"),"",IF(BOM!B342="","",BOM!B342))</f>
        <v/>
      </c>
      <c r="C336" s="5" t="str">
        <f aca="false">IF(OR(BOM!$D342="",BOM!$R342="Cancelled"),"",IF(BOM!C342="","",BOM!C342))</f>
        <v/>
      </c>
      <c r="D336" s="5" t="str">
        <f aca="false">IF(OR(BOM!$D342="",BOM!$R342="Cancelled"),"",IF(BOM!D342="","",BOM!D342))</f>
        <v/>
      </c>
      <c r="E336" s="5" t="str">
        <f aca="false">IF(OR(BOM!$D342="",BOM!$R342="Cancelled"),"",IF(BOM!E342="","",BOM!E342))</f>
        <v/>
      </c>
      <c r="F336" s="5" t="str">
        <f aca="false">IF(OR(BOM!$D342="",BOM!$R342="Cancelled"),"",IF(BOM!F342="","",BOM!F342))</f>
        <v/>
      </c>
      <c r="G336" s="5" t="str">
        <f aca="false">IF(OR(BOM!$D342="",BOM!$R342="Cancelled"),"",IF(BOM!J342="","",BOM!J342))</f>
        <v/>
      </c>
      <c r="H336" s="5" t="str">
        <f aca="false">IF(OR(BOM!$D342="",BOM!$R342="Cancelled"),"",IF(BOM!K342="","",BOM!K342))</f>
        <v/>
      </c>
      <c r="I336" s="5" t="str">
        <f aca="false">IF(OR(BOM!$D342="",BOM!$R342="Cancelled"),"",IF(BOM!M342="","",BOM!M342))</f>
        <v/>
      </c>
      <c r="J336" s="5" t="str">
        <f aca="false">IF(OR(BOM!$D342="",BOM!$R342="Cancelled"),"",IF(OR(BOM!R342="Received",BOM!R342="NSW Purchased"),"Received",IF(BOM!R342="Purchased – Not Received","Ordered",IF(BOM!R342="Finalized – Not Purchased","Design Released","In Design"))))</f>
        <v/>
      </c>
      <c r="K336" s="52" t="str">
        <f aca="false">IF(OR(BOM!$D342="",BOM!$R342="Cancelled"),"",IF(BOM!W342="","",BOM!W342))</f>
        <v/>
      </c>
    </row>
    <row r="337" customFormat="false" ht="15" hidden="false" customHeight="false" outlineLevel="0" collapsed="false">
      <c r="A337" s="5" t="str">
        <f aca="false">IF(OR(BOM!$D343="",BOM!$R343="Cancelled"),"",IF(BOM!A343="","",BOM!A343))</f>
        <v/>
      </c>
      <c r="B337" s="5" t="str">
        <f aca="false">IF(OR(BOM!$D343="",BOM!$R343="Cancelled"),"",IF(BOM!B343="","",BOM!B343))</f>
        <v/>
      </c>
      <c r="C337" s="5" t="str">
        <f aca="false">IF(OR(BOM!$D343="",BOM!$R343="Cancelled"),"",IF(BOM!C343="","",BOM!C343))</f>
        <v/>
      </c>
      <c r="D337" s="5" t="str">
        <f aca="false">IF(OR(BOM!$D343="",BOM!$R343="Cancelled"),"",IF(BOM!D343="","",BOM!D343))</f>
        <v/>
      </c>
      <c r="E337" s="5" t="str">
        <f aca="false">IF(OR(BOM!$D343="",BOM!$R343="Cancelled"),"",IF(BOM!E343="","",BOM!E343))</f>
        <v/>
      </c>
      <c r="F337" s="5" t="str">
        <f aca="false">IF(OR(BOM!$D343="",BOM!$R343="Cancelled"),"",IF(BOM!F343="","",BOM!F343))</f>
        <v/>
      </c>
      <c r="G337" s="5" t="str">
        <f aca="false">IF(OR(BOM!$D343="",BOM!$R343="Cancelled"),"",IF(BOM!J343="","",BOM!J343))</f>
        <v/>
      </c>
      <c r="H337" s="5" t="str">
        <f aca="false">IF(OR(BOM!$D343="",BOM!$R343="Cancelled"),"",IF(BOM!K343="","",BOM!K343))</f>
        <v/>
      </c>
      <c r="I337" s="5" t="str">
        <f aca="false">IF(OR(BOM!$D343="",BOM!$R343="Cancelled"),"",IF(BOM!M343="","",BOM!M343))</f>
        <v/>
      </c>
      <c r="J337" s="5" t="str">
        <f aca="false">IF(OR(BOM!$D343="",BOM!$R343="Cancelled"),"",IF(OR(BOM!R343="Received",BOM!R343="NSW Purchased"),"Received",IF(BOM!R343="Purchased – Not Received","Ordered",IF(BOM!R343="Finalized – Not Purchased","Design Released","In Design"))))</f>
        <v/>
      </c>
      <c r="K337" s="52" t="str">
        <f aca="false">IF(OR(BOM!$D343="",BOM!$R343="Cancelled"),"",IF(BOM!W343="","",BOM!W343))</f>
        <v/>
      </c>
    </row>
    <row r="338" customFormat="false" ht="15" hidden="false" customHeight="false" outlineLevel="0" collapsed="false">
      <c r="A338" s="5" t="str">
        <f aca="false">IF(OR(BOM!$D344="",BOM!$R344="Cancelled"),"",IF(BOM!A344="","",BOM!A344))</f>
        <v/>
      </c>
      <c r="B338" s="5" t="str">
        <f aca="false">IF(OR(BOM!$D344="",BOM!$R344="Cancelled"),"",IF(BOM!B344="","",BOM!B344))</f>
        <v/>
      </c>
      <c r="C338" s="5" t="str">
        <f aca="false">IF(OR(BOM!$D344="",BOM!$R344="Cancelled"),"",IF(BOM!C344="","",BOM!C344))</f>
        <v/>
      </c>
      <c r="D338" s="5" t="str">
        <f aca="false">IF(OR(BOM!$D344="",BOM!$R344="Cancelled"),"",IF(BOM!D344="","",BOM!D344))</f>
        <v/>
      </c>
      <c r="E338" s="5" t="str">
        <f aca="false">IF(OR(BOM!$D344="",BOM!$R344="Cancelled"),"",IF(BOM!E344="","",BOM!E344))</f>
        <v/>
      </c>
      <c r="F338" s="5" t="str">
        <f aca="false">IF(OR(BOM!$D344="",BOM!$R344="Cancelled"),"",IF(BOM!F344="","",BOM!F344))</f>
        <v/>
      </c>
      <c r="G338" s="5" t="str">
        <f aca="false">IF(OR(BOM!$D344="",BOM!$R344="Cancelled"),"",IF(BOM!J344="","",BOM!J344))</f>
        <v/>
      </c>
      <c r="H338" s="5" t="str">
        <f aca="false">IF(OR(BOM!$D344="",BOM!$R344="Cancelled"),"",IF(BOM!K344="","",BOM!K344))</f>
        <v/>
      </c>
      <c r="I338" s="5" t="str">
        <f aca="false">IF(OR(BOM!$D344="",BOM!$R344="Cancelled"),"",IF(BOM!M344="","",BOM!M344))</f>
        <v/>
      </c>
      <c r="J338" s="5" t="str">
        <f aca="false">IF(OR(BOM!$D344="",BOM!$R344="Cancelled"),"",IF(OR(BOM!R344="Received",BOM!R344="NSW Purchased"),"Received",IF(BOM!R344="Purchased – Not Received","Ordered",IF(BOM!R344="Finalized – Not Purchased","Design Released","In Design"))))</f>
        <v/>
      </c>
      <c r="K338" s="52" t="str">
        <f aca="false">IF(OR(BOM!$D344="",BOM!$R344="Cancelled"),"",IF(BOM!W344="","",BOM!W344))</f>
        <v/>
      </c>
    </row>
    <row r="339" customFormat="false" ht="15" hidden="false" customHeight="false" outlineLevel="0" collapsed="false">
      <c r="A339" s="5" t="str">
        <f aca="false">IF(OR(BOM!$D345="",BOM!$R345="Cancelled"),"",IF(BOM!A345="","",BOM!A345))</f>
        <v/>
      </c>
      <c r="B339" s="5" t="str">
        <f aca="false">IF(OR(BOM!$D345="",BOM!$R345="Cancelled"),"",IF(BOM!B345="","",BOM!B345))</f>
        <v/>
      </c>
      <c r="C339" s="5" t="str">
        <f aca="false">IF(OR(BOM!$D345="",BOM!$R345="Cancelled"),"",IF(BOM!C345="","",BOM!C345))</f>
        <v/>
      </c>
      <c r="D339" s="5" t="str">
        <f aca="false">IF(OR(BOM!$D345="",BOM!$R345="Cancelled"),"",IF(BOM!D345="","",BOM!D345))</f>
        <v/>
      </c>
      <c r="E339" s="5" t="str">
        <f aca="false">IF(OR(BOM!$D345="",BOM!$R345="Cancelled"),"",IF(BOM!E345="","",BOM!E345))</f>
        <v/>
      </c>
      <c r="F339" s="5" t="str">
        <f aca="false">IF(OR(BOM!$D345="",BOM!$R345="Cancelled"),"",IF(BOM!F345="","",BOM!F345))</f>
        <v/>
      </c>
      <c r="G339" s="5" t="str">
        <f aca="false">IF(OR(BOM!$D345="",BOM!$R345="Cancelled"),"",IF(BOM!J345="","",BOM!J345))</f>
        <v/>
      </c>
      <c r="H339" s="5" t="str">
        <f aca="false">IF(OR(BOM!$D345="",BOM!$R345="Cancelled"),"",IF(BOM!K345="","",BOM!K345))</f>
        <v/>
      </c>
      <c r="I339" s="5" t="str">
        <f aca="false">IF(OR(BOM!$D345="",BOM!$R345="Cancelled"),"",IF(BOM!M345="","",BOM!M345))</f>
        <v/>
      </c>
      <c r="J339" s="5" t="str">
        <f aca="false">IF(OR(BOM!$D345="",BOM!$R345="Cancelled"),"",IF(OR(BOM!R345="Received",BOM!R345="NSW Purchased"),"Received",IF(BOM!R345="Purchased – Not Received","Ordered",IF(BOM!R345="Finalized – Not Purchased","Design Released","In Design"))))</f>
        <v/>
      </c>
      <c r="K339" s="52" t="str">
        <f aca="false">IF(OR(BOM!$D345="",BOM!$R345="Cancelled"),"",IF(BOM!W345="","",BOM!W345))</f>
        <v/>
      </c>
    </row>
    <row r="340" customFormat="false" ht="15" hidden="false" customHeight="false" outlineLevel="0" collapsed="false">
      <c r="A340" s="5" t="str">
        <f aca="false">IF(OR(BOM!$D346="",BOM!$R346="Cancelled"),"",IF(BOM!A346="","",BOM!A346))</f>
        <v/>
      </c>
      <c r="B340" s="5" t="str">
        <f aca="false">IF(OR(BOM!$D346="",BOM!$R346="Cancelled"),"",IF(BOM!B346="","",BOM!B346))</f>
        <v/>
      </c>
      <c r="C340" s="5" t="str">
        <f aca="false">IF(OR(BOM!$D346="",BOM!$R346="Cancelled"),"",IF(BOM!C346="","",BOM!C346))</f>
        <v/>
      </c>
      <c r="D340" s="5" t="str">
        <f aca="false">IF(OR(BOM!$D346="",BOM!$R346="Cancelled"),"",IF(BOM!D346="","",BOM!D346))</f>
        <v/>
      </c>
      <c r="E340" s="5" t="str">
        <f aca="false">IF(OR(BOM!$D346="",BOM!$R346="Cancelled"),"",IF(BOM!E346="","",BOM!E346))</f>
        <v/>
      </c>
      <c r="F340" s="5" t="str">
        <f aca="false">IF(OR(BOM!$D346="",BOM!$R346="Cancelled"),"",IF(BOM!F346="","",BOM!F346))</f>
        <v/>
      </c>
      <c r="G340" s="5" t="str">
        <f aca="false">IF(OR(BOM!$D346="",BOM!$R346="Cancelled"),"",IF(BOM!J346="","",BOM!J346))</f>
        <v/>
      </c>
      <c r="H340" s="5" t="str">
        <f aca="false">IF(OR(BOM!$D346="",BOM!$R346="Cancelled"),"",IF(BOM!K346="","",BOM!K346))</f>
        <v/>
      </c>
      <c r="I340" s="5" t="str">
        <f aca="false">IF(OR(BOM!$D346="",BOM!$R346="Cancelled"),"",IF(BOM!M346="","",BOM!M346))</f>
        <v/>
      </c>
      <c r="J340" s="5" t="str">
        <f aca="false">IF(OR(BOM!$D346="",BOM!$R346="Cancelled"),"",IF(OR(BOM!R346="Received",BOM!R346="NSW Purchased"),"Received",IF(BOM!R346="Purchased – Not Received","Ordered",IF(BOM!R346="Finalized – Not Purchased","Design Released","In Design"))))</f>
        <v/>
      </c>
      <c r="K340" s="52" t="str">
        <f aca="false">IF(OR(BOM!$D346="",BOM!$R346="Cancelled"),"",IF(BOM!W346="","",BOM!W346))</f>
        <v/>
      </c>
    </row>
    <row r="341" customFormat="false" ht="15" hidden="false" customHeight="false" outlineLevel="0" collapsed="false">
      <c r="A341" s="5" t="str">
        <f aca="false">IF(OR(BOM!$D347="",BOM!$R347="Cancelled"),"",IF(BOM!A347="","",BOM!A347))</f>
        <v/>
      </c>
      <c r="B341" s="5" t="str">
        <f aca="false">IF(OR(BOM!$D347="",BOM!$R347="Cancelled"),"",IF(BOM!B347="","",BOM!B347))</f>
        <v/>
      </c>
      <c r="C341" s="5" t="str">
        <f aca="false">IF(OR(BOM!$D347="",BOM!$R347="Cancelled"),"",IF(BOM!C347="","",BOM!C347))</f>
        <v/>
      </c>
      <c r="D341" s="5" t="str">
        <f aca="false">IF(OR(BOM!$D347="",BOM!$R347="Cancelled"),"",IF(BOM!D347="","",BOM!D347))</f>
        <v/>
      </c>
      <c r="E341" s="5" t="str">
        <f aca="false">IF(OR(BOM!$D347="",BOM!$R347="Cancelled"),"",IF(BOM!E347="","",BOM!E347))</f>
        <v/>
      </c>
      <c r="F341" s="5" t="str">
        <f aca="false">IF(OR(BOM!$D347="",BOM!$R347="Cancelled"),"",IF(BOM!F347="","",BOM!F347))</f>
        <v/>
      </c>
      <c r="G341" s="5" t="str">
        <f aca="false">IF(OR(BOM!$D347="",BOM!$R347="Cancelled"),"",IF(BOM!J347="","",BOM!J347))</f>
        <v/>
      </c>
      <c r="H341" s="5" t="str">
        <f aca="false">IF(OR(BOM!$D347="",BOM!$R347="Cancelled"),"",IF(BOM!K347="","",BOM!K347))</f>
        <v/>
      </c>
      <c r="I341" s="5" t="str">
        <f aca="false">IF(OR(BOM!$D347="",BOM!$R347="Cancelled"),"",IF(BOM!M347="","",BOM!M347))</f>
        <v/>
      </c>
      <c r="J341" s="5" t="str">
        <f aca="false">IF(OR(BOM!$D347="",BOM!$R347="Cancelled"),"",IF(OR(BOM!R347="Received",BOM!R347="NSW Purchased"),"Received",IF(BOM!R347="Purchased – Not Received","Ordered",IF(BOM!R347="Finalized – Not Purchased","Design Released","In Design"))))</f>
        <v/>
      </c>
      <c r="K341" s="52" t="str">
        <f aca="false">IF(OR(BOM!$D347="",BOM!$R347="Cancelled"),"",IF(BOM!W347="","",BOM!W347))</f>
        <v/>
      </c>
    </row>
    <row r="342" customFormat="false" ht="15" hidden="false" customHeight="false" outlineLevel="0" collapsed="false">
      <c r="A342" s="5" t="str">
        <f aca="false">IF(OR(BOM!$D348="",BOM!$R348="Cancelled"),"",IF(BOM!A348="","",BOM!A348))</f>
        <v/>
      </c>
      <c r="B342" s="5" t="str">
        <f aca="false">IF(OR(BOM!$D348="",BOM!$R348="Cancelled"),"",IF(BOM!B348="","",BOM!B348))</f>
        <v/>
      </c>
      <c r="C342" s="5" t="str">
        <f aca="false">IF(OR(BOM!$D348="",BOM!$R348="Cancelled"),"",IF(BOM!C348="","",BOM!C348))</f>
        <v/>
      </c>
      <c r="D342" s="5" t="str">
        <f aca="false">IF(OR(BOM!$D348="",BOM!$R348="Cancelled"),"",IF(BOM!D348="","",BOM!D348))</f>
        <v/>
      </c>
      <c r="E342" s="5" t="str">
        <f aca="false">IF(OR(BOM!$D348="",BOM!$R348="Cancelled"),"",IF(BOM!E348="","",BOM!E348))</f>
        <v/>
      </c>
      <c r="F342" s="5" t="str">
        <f aca="false">IF(OR(BOM!$D348="",BOM!$R348="Cancelled"),"",IF(BOM!F348="","",BOM!F348))</f>
        <v/>
      </c>
      <c r="G342" s="5" t="str">
        <f aca="false">IF(OR(BOM!$D348="",BOM!$R348="Cancelled"),"",IF(BOM!J348="","",BOM!J348))</f>
        <v/>
      </c>
      <c r="H342" s="5" t="str">
        <f aca="false">IF(OR(BOM!$D348="",BOM!$R348="Cancelled"),"",IF(BOM!K348="","",BOM!K348))</f>
        <v/>
      </c>
      <c r="I342" s="5" t="str">
        <f aca="false">IF(OR(BOM!$D348="",BOM!$R348="Cancelled"),"",IF(BOM!M348="","",BOM!M348))</f>
        <v/>
      </c>
      <c r="J342" s="5" t="str">
        <f aca="false">IF(OR(BOM!$D348="",BOM!$R348="Cancelled"),"",IF(OR(BOM!R348="Received",BOM!R348="NSW Purchased"),"Received",IF(BOM!R348="Purchased – Not Received","Ordered",IF(BOM!R348="Finalized – Not Purchased","Design Released","In Design"))))</f>
        <v/>
      </c>
      <c r="K342" s="52" t="str">
        <f aca="false">IF(OR(BOM!$D348="",BOM!$R348="Cancelled"),"",IF(BOM!W348="","",BOM!W348))</f>
        <v/>
      </c>
    </row>
    <row r="343" customFormat="false" ht="15" hidden="false" customHeight="false" outlineLevel="0" collapsed="false">
      <c r="A343" s="5" t="str">
        <f aca="false">IF(OR(BOM!$D349="",BOM!$R349="Cancelled"),"",IF(BOM!A349="","",BOM!A349))</f>
        <v/>
      </c>
      <c r="B343" s="5" t="str">
        <f aca="false">IF(OR(BOM!$D349="",BOM!$R349="Cancelled"),"",IF(BOM!B349="","",BOM!B349))</f>
        <v/>
      </c>
      <c r="C343" s="5" t="str">
        <f aca="false">IF(OR(BOM!$D349="",BOM!$R349="Cancelled"),"",IF(BOM!C349="","",BOM!C349))</f>
        <v/>
      </c>
      <c r="D343" s="5" t="str">
        <f aca="false">IF(OR(BOM!$D349="",BOM!$R349="Cancelled"),"",IF(BOM!D349="","",BOM!D349))</f>
        <v/>
      </c>
      <c r="E343" s="5" t="str">
        <f aca="false">IF(OR(BOM!$D349="",BOM!$R349="Cancelled"),"",IF(BOM!E349="","",BOM!E349))</f>
        <v/>
      </c>
      <c r="F343" s="5" t="str">
        <f aca="false">IF(OR(BOM!$D349="",BOM!$R349="Cancelled"),"",IF(BOM!F349="","",BOM!F349))</f>
        <v/>
      </c>
      <c r="G343" s="5" t="str">
        <f aca="false">IF(OR(BOM!$D349="",BOM!$R349="Cancelled"),"",IF(BOM!J349="","",BOM!J349))</f>
        <v/>
      </c>
      <c r="H343" s="5" t="str">
        <f aca="false">IF(OR(BOM!$D349="",BOM!$R349="Cancelled"),"",IF(BOM!K349="","",BOM!K349))</f>
        <v/>
      </c>
      <c r="I343" s="5" t="str">
        <f aca="false">IF(OR(BOM!$D349="",BOM!$R349="Cancelled"),"",IF(BOM!M349="","",BOM!M349))</f>
        <v/>
      </c>
      <c r="J343" s="5" t="str">
        <f aca="false">IF(OR(BOM!$D349="",BOM!$R349="Cancelled"),"",IF(OR(BOM!R349="Received",BOM!R349="NSW Purchased"),"Received",IF(BOM!R349="Purchased – Not Received","Ordered",IF(BOM!R349="Finalized – Not Purchased","Design Released","In Design"))))</f>
        <v/>
      </c>
      <c r="K343" s="52" t="str">
        <f aca="false">IF(OR(BOM!$D349="",BOM!$R349="Cancelled"),"",IF(BOM!W349="","",BOM!W349))</f>
        <v/>
      </c>
    </row>
    <row r="344" customFormat="false" ht="15" hidden="false" customHeight="false" outlineLevel="0" collapsed="false">
      <c r="A344" s="5" t="str">
        <f aca="false">IF(OR(BOM!$D350="",BOM!$R350="Cancelled"),"",IF(BOM!A350="","",BOM!A350))</f>
        <v/>
      </c>
      <c r="B344" s="5" t="str">
        <f aca="false">IF(OR(BOM!$D350="",BOM!$R350="Cancelled"),"",IF(BOM!B350="","",BOM!B350))</f>
        <v/>
      </c>
      <c r="C344" s="5" t="str">
        <f aca="false">IF(OR(BOM!$D350="",BOM!$R350="Cancelled"),"",IF(BOM!C350="","",BOM!C350))</f>
        <v/>
      </c>
      <c r="D344" s="5" t="str">
        <f aca="false">IF(OR(BOM!$D350="",BOM!$R350="Cancelled"),"",IF(BOM!D350="","",BOM!D350))</f>
        <v/>
      </c>
      <c r="E344" s="5" t="str">
        <f aca="false">IF(OR(BOM!$D350="",BOM!$R350="Cancelled"),"",IF(BOM!E350="","",BOM!E350))</f>
        <v/>
      </c>
      <c r="F344" s="5" t="str">
        <f aca="false">IF(OR(BOM!$D350="",BOM!$R350="Cancelled"),"",IF(BOM!F350="","",BOM!F350))</f>
        <v/>
      </c>
      <c r="G344" s="5" t="str">
        <f aca="false">IF(OR(BOM!$D350="",BOM!$R350="Cancelled"),"",IF(BOM!J350="","",BOM!J350))</f>
        <v/>
      </c>
      <c r="H344" s="5" t="str">
        <f aca="false">IF(OR(BOM!$D350="",BOM!$R350="Cancelled"),"",IF(BOM!K350="","",BOM!K350))</f>
        <v/>
      </c>
      <c r="I344" s="5" t="str">
        <f aca="false">IF(OR(BOM!$D350="",BOM!$R350="Cancelled"),"",IF(BOM!M350="","",BOM!M350))</f>
        <v/>
      </c>
      <c r="J344" s="5" t="str">
        <f aca="false">IF(OR(BOM!$D350="",BOM!$R350="Cancelled"),"",IF(OR(BOM!R350="Received",BOM!R350="NSW Purchased"),"Received",IF(BOM!R350="Purchased – Not Received","Ordered",IF(BOM!R350="Finalized – Not Purchased","Design Released","In Design"))))</f>
        <v/>
      </c>
      <c r="K344" s="52" t="str">
        <f aca="false">IF(OR(BOM!$D350="",BOM!$R350="Cancelled"),"",IF(BOM!W350="","",BOM!W350))</f>
        <v/>
      </c>
    </row>
    <row r="345" customFormat="false" ht="15" hidden="false" customHeight="false" outlineLevel="0" collapsed="false">
      <c r="A345" s="5" t="str">
        <f aca="false">IF(OR(BOM!$D351="",BOM!$R351="Cancelled"),"",IF(BOM!A351="","",BOM!A351))</f>
        <v/>
      </c>
      <c r="B345" s="5" t="str">
        <f aca="false">IF(OR(BOM!$D351="",BOM!$R351="Cancelled"),"",IF(BOM!B351="","",BOM!B351))</f>
        <v/>
      </c>
      <c r="C345" s="5" t="str">
        <f aca="false">IF(OR(BOM!$D351="",BOM!$R351="Cancelled"),"",IF(BOM!C351="","",BOM!C351))</f>
        <v/>
      </c>
      <c r="D345" s="5" t="str">
        <f aca="false">IF(OR(BOM!$D351="",BOM!$R351="Cancelled"),"",IF(BOM!D351="","",BOM!D351))</f>
        <v/>
      </c>
      <c r="E345" s="5" t="str">
        <f aca="false">IF(OR(BOM!$D351="",BOM!$R351="Cancelled"),"",IF(BOM!E351="","",BOM!E351))</f>
        <v/>
      </c>
      <c r="F345" s="5" t="str">
        <f aca="false">IF(OR(BOM!$D351="",BOM!$R351="Cancelled"),"",IF(BOM!F351="","",BOM!F351))</f>
        <v/>
      </c>
      <c r="G345" s="5" t="str">
        <f aca="false">IF(OR(BOM!$D351="",BOM!$R351="Cancelled"),"",IF(BOM!J351="","",BOM!J351))</f>
        <v/>
      </c>
      <c r="H345" s="5" t="str">
        <f aca="false">IF(OR(BOM!$D351="",BOM!$R351="Cancelled"),"",IF(BOM!K351="","",BOM!K351))</f>
        <v/>
      </c>
      <c r="I345" s="5" t="str">
        <f aca="false">IF(OR(BOM!$D351="",BOM!$R351="Cancelled"),"",IF(BOM!M351="","",BOM!M351))</f>
        <v/>
      </c>
      <c r="J345" s="5" t="str">
        <f aca="false">IF(OR(BOM!$D351="",BOM!$R351="Cancelled"),"",IF(OR(BOM!R351="Received",BOM!R351="NSW Purchased"),"Received",IF(BOM!R351="Purchased – Not Received","Ordered",IF(BOM!R351="Finalized – Not Purchased","Design Released","In Design"))))</f>
        <v/>
      </c>
      <c r="K345" s="52" t="str">
        <f aca="false">IF(OR(BOM!$D351="",BOM!$R351="Cancelled"),"",IF(BOM!W351="","",BOM!W351))</f>
        <v/>
      </c>
    </row>
    <row r="346" customFormat="false" ht="15" hidden="false" customHeight="false" outlineLevel="0" collapsed="false">
      <c r="A346" s="5" t="str">
        <f aca="false">IF(OR(BOM!$D352="",BOM!$R352="Cancelled"),"",IF(BOM!A352="","",BOM!A352))</f>
        <v/>
      </c>
      <c r="B346" s="5" t="str">
        <f aca="false">IF(OR(BOM!$D352="",BOM!$R352="Cancelled"),"",IF(BOM!B352="","",BOM!B352))</f>
        <v/>
      </c>
      <c r="C346" s="5" t="str">
        <f aca="false">IF(OR(BOM!$D352="",BOM!$R352="Cancelled"),"",IF(BOM!C352="","",BOM!C352))</f>
        <v/>
      </c>
      <c r="D346" s="5" t="str">
        <f aca="false">IF(OR(BOM!$D352="",BOM!$R352="Cancelled"),"",IF(BOM!D352="","",BOM!D352))</f>
        <v/>
      </c>
      <c r="E346" s="5" t="str">
        <f aca="false">IF(OR(BOM!$D352="",BOM!$R352="Cancelled"),"",IF(BOM!E352="","",BOM!E352))</f>
        <v/>
      </c>
      <c r="F346" s="5" t="str">
        <f aca="false">IF(OR(BOM!$D352="",BOM!$R352="Cancelled"),"",IF(BOM!F352="","",BOM!F352))</f>
        <v/>
      </c>
      <c r="G346" s="5" t="str">
        <f aca="false">IF(OR(BOM!$D352="",BOM!$R352="Cancelled"),"",IF(BOM!J352="","",BOM!J352))</f>
        <v/>
      </c>
      <c r="H346" s="5" t="str">
        <f aca="false">IF(OR(BOM!$D352="",BOM!$R352="Cancelled"),"",IF(BOM!K352="","",BOM!K352))</f>
        <v/>
      </c>
      <c r="I346" s="5" t="str">
        <f aca="false">IF(OR(BOM!$D352="",BOM!$R352="Cancelled"),"",IF(BOM!M352="","",BOM!M352))</f>
        <v/>
      </c>
      <c r="J346" s="5" t="str">
        <f aca="false">IF(OR(BOM!$D352="",BOM!$R352="Cancelled"),"",IF(OR(BOM!R352="Received",BOM!R352="NSW Purchased"),"Received",IF(BOM!R352="Purchased – Not Received","Ordered",IF(BOM!R352="Finalized – Not Purchased","Design Released","In Design"))))</f>
        <v/>
      </c>
      <c r="K346" s="52" t="str">
        <f aca="false">IF(OR(BOM!$D352="",BOM!$R352="Cancelled"),"",IF(BOM!W352="","",BOM!W352))</f>
        <v/>
      </c>
    </row>
    <row r="347" customFormat="false" ht="15" hidden="false" customHeight="false" outlineLevel="0" collapsed="false">
      <c r="A347" s="5" t="str">
        <f aca="false">IF(OR(BOM!$D353="",BOM!$R353="Cancelled"),"",IF(BOM!A353="","",BOM!A353))</f>
        <v/>
      </c>
      <c r="B347" s="5" t="str">
        <f aca="false">IF(OR(BOM!$D353="",BOM!$R353="Cancelled"),"",IF(BOM!B353="","",BOM!B353))</f>
        <v/>
      </c>
      <c r="C347" s="5" t="str">
        <f aca="false">IF(OR(BOM!$D353="",BOM!$R353="Cancelled"),"",IF(BOM!C353="","",BOM!C353))</f>
        <v/>
      </c>
      <c r="D347" s="5" t="str">
        <f aca="false">IF(OR(BOM!$D353="",BOM!$R353="Cancelled"),"",IF(BOM!D353="","",BOM!D353))</f>
        <v/>
      </c>
      <c r="E347" s="5" t="str">
        <f aca="false">IF(OR(BOM!$D353="",BOM!$R353="Cancelled"),"",IF(BOM!E353="","",BOM!E353))</f>
        <v/>
      </c>
      <c r="F347" s="5" t="str">
        <f aca="false">IF(OR(BOM!$D353="",BOM!$R353="Cancelled"),"",IF(BOM!F353="","",BOM!F353))</f>
        <v/>
      </c>
      <c r="G347" s="5" t="str">
        <f aca="false">IF(OR(BOM!$D353="",BOM!$R353="Cancelled"),"",IF(BOM!J353="","",BOM!J353))</f>
        <v/>
      </c>
      <c r="H347" s="5" t="str">
        <f aca="false">IF(OR(BOM!$D353="",BOM!$R353="Cancelled"),"",IF(BOM!K353="","",BOM!K353))</f>
        <v/>
      </c>
      <c r="I347" s="5" t="str">
        <f aca="false">IF(OR(BOM!$D353="",BOM!$R353="Cancelled"),"",IF(BOM!M353="","",BOM!M353))</f>
        <v/>
      </c>
      <c r="J347" s="5" t="str">
        <f aca="false">IF(OR(BOM!$D353="",BOM!$R353="Cancelled"),"",IF(OR(BOM!R353="Received",BOM!R353="NSW Purchased"),"Received",IF(BOM!R353="Purchased – Not Received","Ordered",IF(BOM!R353="Finalized – Not Purchased","Design Released","In Design"))))</f>
        <v/>
      </c>
      <c r="K347" s="52" t="str">
        <f aca="false">IF(OR(BOM!$D353="",BOM!$R353="Cancelled"),"",IF(BOM!W353="","",BOM!W353))</f>
        <v/>
      </c>
    </row>
    <row r="348" customFormat="false" ht="15" hidden="false" customHeight="false" outlineLevel="0" collapsed="false">
      <c r="A348" s="5" t="str">
        <f aca="false">IF(OR(BOM!$D354="",BOM!$R354="Cancelled"),"",IF(BOM!A354="","",BOM!A354))</f>
        <v/>
      </c>
      <c r="B348" s="5" t="str">
        <f aca="false">IF(OR(BOM!$D354="",BOM!$R354="Cancelled"),"",IF(BOM!B354="","",BOM!B354))</f>
        <v/>
      </c>
      <c r="C348" s="5" t="str">
        <f aca="false">IF(OR(BOM!$D354="",BOM!$R354="Cancelled"),"",IF(BOM!C354="","",BOM!C354))</f>
        <v/>
      </c>
      <c r="D348" s="5" t="str">
        <f aca="false">IF(OR(BOM!$D354="",BOM!$R354="Cancelled"),"",IF(BOM!D354="","",BOM!D354))</f>
        <v/>
      </c>
      <c r="E348" s="5" t="str">
        <f aca="false">IF(OR(BOM!$D354="",BOM!$R354="Cancelled"),"",IF(BOM!E354="","",BOM!E354))</f>
        <v/>
      </c>
      <c r="F348" s="5" t="str">
        <f aca="false">IF(OR(BOM!$D354="",BOM!$R354="Cancelled"),"",IF(BOM!F354="","",BOM!F354))</f>
        <v/>
      </c>
      <c r="G348" s="5" t="str">
        <f aca="false">IF(OR(BOM!$D354="",BOM!$R354="Cancelled"),"",IF(BOM!J354="","",BOM!J354))</f>
        <v/>
      </c>
      <c r="H348" s="5" t="str">
        <f aca="false">IF(OR(BOM!$D354="",BOM!$R354="Cancelled"),"",IF(BOM!K354="","",BOM!K354))</f>
        <v/>
      </c>
      <c r="I348" s="5" t="str">
        <f aca="false">IF(OR(BOM!$D354="",BOM!$R354="Cancelled"),"",IF(BOM!M354="","",BOM!M354))</f>
        <v/>
      </c>
      <c r="J348" s="5" t="str">
        <f aca="false">IF(OR(BOM!$D354="",BOM!$R354="Cancelled"),"",IF(OR(BOM!R354="Received",BOM!R354="NSW Purchased"),"Received",IF(BOM!R354="Purchased – Not Received","Ordered",IF(BOM!R354="Finalized – Not Purchased","Design Released","In Design"))))</f>
        <v/>
      </c>
      <c r="K348" s="52" t="str">
        <f aca="false">IF(OR(BOM!$D354="",BOM!$R354="Cancelled"),"",IF(BOM!W354="","",BOM!W354))</f>
        <v/>
      </c>
    </row>
    <row r="349" customFormat="false" ht="15" hidden="false" customHeight="false" outlineLevel="0" collapsed="false">
      <c r="A349" s="5" t="str">
        <f aca="false">IF(OR(BOM!$D355="",BOM!$R355="Cancelled"),"",IF(BOM!A355="","",BOM!A355))</f>
        <v/>
      </c>
      <c r="B349" s="5" t="str">
        <f aca="false">IF(OR(BOM!$D355="",BOM!$R355="Cancelled"),"",IF(BOM!B355="","",BOM!B355))</f>
        <v/>
      </c>
      <c r="C349" s="5" t="str">
        <f aca="false">IF(OR(BOM!$D355="",BOM!$R355="Cancelled"),"",IF(BOM!C355="","",BOM!C355))</f>
        <v/>
      </c>
      <c r="D349" s="5" t="str">
        <f aca="false">IF(OR(BOM!$D355="",BOM!$R355="Cancelled"),"",IF(BOM!D355="","",BOM!D355))</f>
        <v/>
      </c>
      <c r="E349" s="5" t="str">
        <f aca="false">IF(OR(BOM!$D355="",BOM!$R355="Cancelled"),"",IF(BOM!E355="","",BOM!E355))</f>
        <v/>
      </c>
      <c r="F349" s="5" t="str">
        <f aca="false">IF(OR(BOM!$D355="",BOM!$R355="Cancelled"),"",IF(BOM!F355="","",BOM!F355))</f>
        <v/>
      </c>
      <c r="G349" s="5" t="str">
        <f aca="false">IF(OR(BOM!$D355="",BOM!$R355="Cancelled"),"",IF(BOM!J355="","",BOM!J355))</f>
        <v/>
      </c>
      <c r="H349" s="5" t="str">
        <f aca="false">IF(OR(BOM!$D355="",BOM!$R355="Cancelled"),"",IF(BOM!K355="","",BOM!K355))</f>
        <v/>
      </c>
      <c r="I349" s="5" t="str">
        <f aca="false">IF(OR(BOM!$D355="",BOM!$R355="Cancelled"),"",IF(BOM!M355="","",BOM!M355))</f>
        <v/>
      </c>
      <c r="J349" s="5" t="str">
        <f aca="false">IF(OR(BOM!$D355="",BOM!$R355="Cancelled"),"",IF(OR(BOM!R355="Received",BOM!R355="NSW Purchased"),"Received",IF(BOM!R355="Purchased – Not Received","Ordered",IF(BOM!R355="Finalized – Not Purchased","Design Released","In Design"))))</f>
        <v/>
      </c>
      <c r="K349" s="52" t="str">
        <f aca="false">IF(OR(BOM!$D355="",BOM!$R355="Cancelled"),"",IF(BOM!W355="","",BOM!W355))</f>
        <v/>
      </c>
    </row>
    <row r="350" customFormat="false" ht="15" hidden="false" customHeight="false" outlineLevel="0" collapsed="false">
      <c r="A350" s="5" t="str">
        <f aca="false">IF(OR(BOM!$D356="",BOM!$R356="Cancelled"),"",IF(BOM!A356="","",BOM!A356))</f>
        <v/>
      </c>
      <c r="B350" s="5" t="str">
        <f aca="false">IF(OR(BOM!$D356="",BOM!$R356="Cancelled"),"",IF(BOM!B356="","",BOM!B356))</f>
        <v/>
      </c>
      <c r="C350" s="5" t="str">
        <f aca="false">IF(OR(BOM!$D356="",BOM!$R356="Cancelled"),"",IF(BOM!C356="","",BOM!C356))</f>
        <v/>
      </c>
      <c r="D350" s="5" t="str">
        <f aca="false">IF(OR(BOM!$D356="",BOM!$R356="Cancelled"),"",IF(BOM!D356="","",BOM!D356))</f>
        <v/>
      </c>
      <c r="E350" s="5" t="str">
        <f aca="false">IF(OR(BOM!$D356="",BOM!$R356="Cancelled"),"",IF(BOM!E356="","",BOM!E356))</f>
        <v/>
      </c>
      <c r="F350" s="5" t="str">
        <f aca="false">IF(OR(BOM!$D356="",BOM!$R356="Cancelled"),"",IF(BOM!F356="","",BOM!F356))</f>
        <v/>
      </c>
      <c r="G350" s="5" t="str">
        <f aca="false">IF(OR(BOM!$D356="",BOM!$R356="Cancelled"),"",IF(BOM!J356="","",BOM!J356))</f>
        <v/>
      </c>
      <c r="H350" s="5" t="str">
        <f aca="false">IF(OR(BOM!$D356="",BOM!$R356="Cancelled"),"",IF(BOM!K356="","",BOM!K356))</f>
        <v/>
      </c>
      <c r="I350" s="5" t="str">
        <f aca="false">IF(OR(BOM!$D356="",BOM!$R356="Cancelled"),"",IF(BOM!M356="","",BOM!M356))</f>
        <v/>
      </c>
      <c r="J350" s="5" t="str">
        <f aca="false">IF(OR(BOM!$D356="",BOM!$R356="Cancelled"),"",IF(OR(BOM!R356="Received",BOM!R356="NSW Purchased"),"Received",IF(BOM!R356="Purchased – Not Received","Ordered",IF(BOM!R356="Finalized – Not Purchased","Design Released","In Design"))))</f>
        <v/>
      </c>
      <c r="K350" s="52" t="str">
        <f aca="false">IF(OR(BOM!$D356="",BOM!$R356="Cancelled"),"",IF(BOM!W356="","",BOM!W356))</f>
        <v/>
      </c>
    </row>
    <row r="351" customFormat="false" ht="15" hidden="false" customHeight="false" outlineLevel="0" collapsed="false">
      <c r="A351" s="5" t="str">
        <f aca="false">IF(OR(BOM!$D357="",BOM!$R357="Cancelled"),"",IF(BOM!A357="","",BOM!A357))</f>
        <v/>
      </c>
      <c r="B351" s="5" t="str">
        <f aca="false">IF(OR(BOM!$D357="",BOM!$R357="Cancelled"),"",IF(BOM!B357="","",BOM!B357))</f>
        <v/>
      </c>
      <c r="C351" s="5" t="str">
        <f aca="false">IF(OR(BOM!$D357="",BOM!$R357="Cancelled"),"",IF(BOM!C357="","",BOM!C357))</f>
        <v/>
      </c>
      <c r="D351" s="5" t="str">
        <f aca="false">IF(OR(BOM!$D357="",BOM!$R357="Cancelled"),"",IF(BOM!D357="","",BOM!D357))</f>
        <v/>
      </c>
      <c r="E351" s="5" t="str">
        <f aca="false">IF(OR(BOM!$D357="",BOM!$R357="Cancelled"),"",IF(BOM!E357="","",BOM!E357))</f>
        <v/>
      </c>
      <c r="F351" s="5" t="str">
        <f aca="false">IF(OR(BOM!$D357="",BOM!$R357="Cancelled"),"",IF(BOM!F357="","",BOM!F357))</f>
        <v/>
      </c>
      <c r="G351" s="5" t="str">
        <f aca="false">IF(OR(BOM!$D357="",BOM!$R357="Cancelled"),"",IF(BOM!J357="","",BOM!J357))</f>
        <v/>
      </c>
      <c r="H351" s="5" t="str">
        <f aca="false">IF(OR(BOM!$D357="",BOM!$R357="Cancelled"),"",IF(BOM!K357="","",BOM!K357))</f>
        <v/>
      </c>
      <c r="I351" s="5" t="str">
        <f aca="false">IF(OR(BOM!$D357="",BOM!$R357="Cancelled"),"",IF(BOM!M357="","",BOM!M357))</f>
        <v/>
      </c>
      <c r="J351" s="5" t="str">
        <f aca="false">IF(OR(BOM!$D357="",BOM!$R357="Cancelled"),"",IF(OR(BOM!R357="Received",BOM!R357="NSW Purchased"),"Received",IF(BOM!R357="Purchased – Not Received","Ordered",IF(BOM!R357="Finalized – Not Purchased","Design Released","In Design"))))</f>
        <v/>
      </c>
      <c r="K351" s="52" t="str">
        <f aca="false">IF(OR(BOM!$D357="",BOM!$R357="Cancelled"),"",IF(BOM!W357="","",BOM!W357))</f>
        <v/>
      </c>
    </row>
    <row r="352" customFormat="false" ht="15" hidden="false" customHeight="false" outlineLevel="0" collapsed="false">
      <c r="A352" s="5" t="str">
        <f aca="false">IF(OR(BOM!$D358="",BOM!$R358="Cancelled"),"",IF(BOM!A358="","",BOM!A358))</f>
        <v/>
      </c>
      <c r="B352" s="5" t="str">
        <f aca="false">IF(OR(BOM!$D358="",BOM!$R358="Cancelled"),"",IF(BOM!B358="","",BOM!B358))</f>
        <v/>
      </c>
      <c r="C352" s="5" t="str">
        <f aca="false">IF(OR(BOM!$D358="",BOM!$R358="Cancelled"),"",IF(BOM!C358="","",BOM!C358))</f>
        <v/>
      </c>
      <c r="D352" s="5" t="str">
        <f aca="false">IF(OR(BOM!$D358="",BOM!$R358="Cancelled"),"",IF(BOM!D358="","",BOM!D358))</f>
        <v/>
      </c>
      <c r="E352" s="5" t="str">
        <f aca="false">IF(OR(BOM!$D358="",BOM!$R358="Cancelled"),"",IF(BOM!E358="","",BOM!E358))</f>
        <v/>
      </c>
      <c r="F352" s="5" t="str">
        <f aca="false">IF(OR(BOM!$D358="",BOM!$R358="Cancelled"),"",IF(BOM!F358="","",BOM!F358))</f>
        <v/>
      </c>
      <c r="G352" s="5" t="str">
        <f aca="false">IF(OR(BOM!$D358="",BOM!$R358="Cancelled"),"",IF(BOM!J358="","",BOM!J358))</f>
        <v/>
      </c>
      <c r="H352" s="5" t="str">
        <f aca="false">IF(OR(BOM!$D358="",BOM!$R358="Cancelled"),"",IF(BOM!K358="","",BOM!K358))</f>
        <v/>
      </c>
      <c r="I352" s="5" t="str">
        <f aca="false">IF(OR(BOM!$D358="",BOM!$R358="Cancelled"),"",IF(BOM!M358="","",BOM!M358))</f>
        <v/>
      </c>
      <c r="J352" s="5" t="str">
        <f aca="false">IF(OR(BOM!$D358="",BOM!$R358="Cancelled"),"",IF(OR(BOM!R358="Received",BOM!R358="NSW Purchased"),"Received",IF(BOM!R358="Purchased – Not Received","Ordered",IF(BOM!R358="Finalized – Not Purchased","Design Released","In Design"))))</f>
        <v/>
      </c>
      <c r="K352" s="52" t="str">
        <f aca="false">IF(OR(BOM!$D358="",BOM!$R358="Cancelled"),"",IF(BOM!W358="","",BOM!W358))</f>
        <v/>
      </c>
    </row>
    <row r="353" customFormat="false" ht="15" hidden="false" customHeight="false" outlineLevel="0" collapsed="false">
      <c r="A353" s="5" t="str">
        <f aca="false">IF(OR(BOM!$D359="",BOM!$R359="Cancelled"),"",IF(BOM!A359="","",BOM!A359))</f>
        <v/>
      </c>
      <c r="B353" s="5" t="str">
        <f aca="false">IF(OR(BOM!$D359="",BOM!$R359="Cancelled"),"",IF(BOM!B359="","",BOM!B359))</f>
        <v/>
      </c>
      <c r="C353" s="5" t="str">
        <f aca="false">IF(OR(BOM!$D359="",BOM!$R359="Cancelled"),"",IF(BOM!C359="","",BOM!C359))</f>
        <v/>
      </c>
      <c r="D353" s="5" t="str">
        <f aca="false">IF(OR(BOM!$D359="",BOM!$R359="Cancelled"),"",IF(BOM!D359="","",BOM!D359))</f>
        <v/>
      </c>
      <c r="E353" s="5" t="str">
        <f aca="false">IF(OR(BOM!$D359="",BOM!$R359="Cancelled"),"",IF(BOM!E359="","",BOM!E359))</f>
        <v/>
      </c>
      <c r="F353" s="5" t="str">
        <f aca="false">IF(OR(BOM!$D359="",BOM!$R359="Cancelled"),"",IF(BOM!F359="","",BOM!F359))</f>
        <v/>
      </c>
      <c r="G353" s="5" t="str">
        <f aca="false">IF(OR(BOM!$D359="",BOM!$R359="Cancelled"),"",IF(BOM!J359="","",BOM!J359))</f>
        <v/>
      </c>
      <c r="H353" s="5" t="str">
        <f aca="false">IF(OR(BOM!$D359="",BOM!$R359="Cancelled"),"",IF(BOM!K359="","",BOM!K359))</f>
        <v/>
      </c>
      <c r="I353" s="5" t="str">
        <f aca="false">IF(OR(BOM!$D359="",BOM!$R359="Cancelled"),"",IF(BOM!M359="","",BOM!M359))</f>
        <v/>
      </c>
      <c r="J353" s="5" t="str">
        <f aca="false">IF(OR(BOM!$D359="",BOM!$R359="Cancelled"),"",IF(OR(BOM!R359="Received",BOM!R359="NSW Purchased"),"Received",IF(BOM!R359="Purchased – Not Received","Ordered",IF(BOM!R359="Finalized – Not Purchased","Design Released","In Design"))))</f>
        <v/>
      </c>
      <c r="K353" s="52" t="str">
        <f aca="false">IF(OR(BOM!$D359="",BOM!$R359="Cancelled"),"",IF(BOM!W359="","",BOM!W359))</f>
        <v/>
      </c>
    </row>
    <row r="354" customFormat="false" ht="15" hidden="false" customHeight="false" outlineLevel="0" collapsed="false">
      <c r="A354" s="5" t="str">
        <f aca="false">IF(OR(BOM!$D360="",BOM!$R360="Cancelled"),"",IF(BOM!A360="","",BOM!A360))</f>
        <v/>
      </c>
      <c r="B354" s="5" t="str">
        <f aca="false">IF(OR(BOM!$D360="",BOM!$R360="Cancelled"),"",IF(BOM!B360="","",BOM!B360))</f>
        <v/>
      </c>
      <c r="C354" s="5" t="str">
        <f aca="false">IF(OR(BOM!$D360="",BOM!$R360="Cancelled"),"",IF(BOM!C360="","",BOM!C360))</f>
        <v/>
      </c>
      <c r="D354" s="5" t="str">
        <f aca="false">IF(OR(BOM!$D360="",BOM!$R360="Cancelled"),"",IF(BOM!D360="","",BOM!D360))</f>
        <v/>
      </c>
      <c r="E354" s="5" t="str">
        <f aca="false">IF(OR(BOM!$D360="",BOM!$R360="Cancelled"),"",IF(BOM!E360="","",BOM!E360))</f>
        <v/>
      </c>
      <c r="F354" s="5" t="str">
        <f aca="false">IF(OR(BOM!$D360="",BOM!$R360="Cancelled"),"",IF(BOM!F360="","",BOM!F360))</f>
        <v/>
      </c>
      <c r="G354" s="5" t="str">
        <f aca="false">IF(OR(BOM!$D360="",BOM!$R360="Cancelled"),"",IF(BOM!J360="","",BOM!J360))</f>
        <v/>
      </c>
      <c r="H354" s="5" t="str">
        <f aca="false">IF(OR(BOM!$D360="",BOM!$R360="Cancelled"),"",IF(BOM!K360="","",BOM!K360))</f>
        <v/>
      </c>
      <c r="I354" s="5" t="str">
        <f aca="false">IF(OR(BOM!$D360="",BOM!$R360="Cancelled"),"",IF(BOM!M360="","",BOM!M360))</f>
        <v/>
      </c>
      <c r="J354" s="5" t="str">
        <f aca="false">IF(OR(BOM!$D360="",BOM!$R360="Cancelled"),"",IF(OR(BOM!R360="Received",BOM!R360="NSW Purchased"),"Received",IF(BOM!R360="Purchased – Not Received","Ordered",IF(BOM!R360="Finalized – Not Purchased","Design Released","In Design"))))</f>
        <v/>
      </c>
      <c r="K354" s="52" t="str">
        <f aca="false">IF(OR(BOM!$D360="",BOM!$R360="Cancelled"),"",IF(BOM!W360="","",BOM!W360))</f>
        <v/>
      </c>
    </row>
    <row r="355" customFormat="false" ht="15" hidden="false" customHeight="false" outlineLevel="0" collapsed="false">
      <c r="A355" s="5" t="str">
        <f aca="false">IF(OR(BOM!$D361="",BOM!$R361="Cancelled"),"",IF(BOM!A361="","",BOM!A361))</f>
        <v/>
      </c>
      <c r="B355" s="5" t="str">
        <f aca="false">IF(OR(BOM!$D361="",BOM!$R361="Cancelled"),"",IF(BOM!B361="","",BOM!B361))</f>
        <v/>
      </c>
      <c r="C355" s="5" t="str">
        <f aca="false">IF(OR(BOM!$D361="",BOM!$R361="Cancelled"),"",IF(BOM!C361="","",BOM!C361))</f>
        <v/>
      </c>
      <c r="D355" s="5" t="str">
        <f aca="false">IF(OR(BOM!$D361="",BOM!$R361="Cancelled"),"",IF(BOM!D361="","",BOM!D361))</f>
        <v/>
      </c>
      <c r="E355" s="5" t="str">
        <f aca="false">IF(OR(BOM!$D361="",BOM!$R361="Cancelled"),"",IF(BOM!E361="","",BOM!E361))</f>
        <v/>
      </c>
      <c r="F355" s="5" t="str">
        <f aca="false">IF(OR(BOM!$D361="",BOM!$R361="Cancelled"),"",IF(BOM!F361="","",BOM!F361))</f>
        <v/>
      </c>
      <c r="G355" s="5" t="str">
        <f aca="false">IF(OR(BOM!$D361="",BOM!$R361="Cancelled"),"",IF(BOM!J361="","",BOM!J361))</f>
        <v/>
      </c>
      <c r="H355" s="5" t="str">
        <f aca="false">IF(OR(BOM!$D361="",BOM!$R361="Cancelled"),"",IF(BOM!K361="","",BOM!K361))</f>
        <v/>
      </c>
      <c r="I355" s="5" t="str">
        <f aca="false">IF(OR(BOM!$D361="",BOM!$R361="Cancelled"),"",IF(BOM!M361="","",BOM!M361))</f>
        <v/>
      </c>
      <c r="J355" s="5" t="str">
        <f aca="false">IF(OR(BOM!$D361="",BOM!$R361="Cancelled"),"",IF(OR(BOM!R361="Received",BOM!R361="NSW Purchased"),"Received",IF(BOM!R361="Purchased – Not Received","Ordered",IF(BOM!R361="Finalized – Not Purchased","Design Released","In Design"))))</f>
        <v/>
      </c>
      <c r="K355" s="52" t="str">
        <f aca="false">IF(OR(BOM!$D361="",BOM!$R361="Cancelled"),"",IF(BOM!W361="","",BOM!W361))</f>
        <v/>
      </c>
    </row>
    <row r="356" customFormat="false" ht="15" hidden="false" customHeight="false" outlineLevel="0" collapsed="false">
      <c r="A356" s="5" t="str">
        <f aca="false">IF(OR(BOM!$D362="",BOM!$R362="Cancelled"),"",IF(BOM!A362="","",BOM!A362))</f>
        <v/>
      </c>
      <c r="B356" s="5" t="str">
        <f aca="false">IF(OR(BOM!$D362="",BOM!$R362="Cancelled"),"",IF(BOM!B362="","",BOM!B362))</f>
        <v/>
      </c>
      <c r="C356" s="5" t="str">
        <f aca="false">IF(OR(BOM!$D362="",BOM!$R362="Cancelled"),"",IF(BOM!C362="","",BOM!C362))</f>
        <v/>
      </c>
      <c r="D356" s="5" t="str">
        <f aca="false">IF(OR(BOM!$D362="",BOM!$R362="Cancelled"),"",IF(BOM!D362="","",BOM!D362))</f>
        <v/>
      </c>
      <c r="E356" s="5" t="str">
        <f aca="false">IF(OR(BOM!$D362="",BOM!$R362="Cancelled"),"",IF(BOM!E362="","",BOM!E362))</f>
        <v/>
      </c>
      <c r="F356" s="5" t="str">
        <f aca="false">IF(OR(BOM!$D362="",BOM!$R362="Cancelled"),"",IF(BOM!F362="","",BOM!F362))</f>
        <v/>
      </c>
      <c r="G356" s="5" t="str">
        <f aca="false">IF(OR(BOM!$D362="",BOM!$R362="Cancelled"),"",IF(BOM!J362="","",BOM!J362))</f>
        <v/>
      </c>
      <c r="H356" s="5" t="str">
        <f aca="false">IF(OR(BOM!$D362="",BOM!$R362="Cancelled"),"",IF(BOM!K362="","",BOM!K362))</f>
        <v/>
      </c>
      <c r="I356" s="5" t="str">
        <f aca="false">IF(OR(BOM!$D362="",BOM!$R362="Cancelled"),"",IF(BOM!M362="","",BOM!M362))</f>
        <v/>
      </c>
      <c r="J356" s="5" t="str">
        <f aca="false">IF(OR(BOM!$D362="",BOM!$R362="Cancelled"),"",IF(OR(BOM!R362="Received",BOM!R362="NSW Purchased"),"Received",IF(BOM!R362="Purchased – Not Received","Ordered",IF(BOM!R362="Finalized – Not Purchased","Design Released","In Design"))))</f>
        <v/>
      </c>
      <c r="K356" s="52" t="str">
        <f aca="false">IF(OR(BOM!$D362="",BOM!$R362="Cancelled"),"",IF(BOM!W362="","",BOM!W362))</f>
        <v/>
      </c>
    </row>
    <row r="357" customFormat="false" ht="15" hidden="false" customHeight="false" outlineLevel="0" collapsed="false">
      <c r="A357" s="5" t="str">
        <f aca="false">IF(OR(BOM!$D363="",BOM!$R363="Cancelled"),"",IF(BOM!A363="","",BOM!A363))</f>
        <v/>
      </c>
      <c r="B357" s="5" t="str">
        <f aca="false">IF(OR(BOM!$D363="",BOM!$R363="Cancelled"),"",IF(BOM!B363="","",BOM!B363))</f>
        <v/>
      </c>
      <c r="C357" s="5" t="str">
        <f aca="false">IF(OR(BOM!$D363="",BOM!$R363="Cancelled"),"",IF(BOM!C363="","",BOM!C363))</f>
        <v/>
      </c>
      <c r="D357" s="5" t="str">
        <f aca="false">IF(OR(BOM!$D363="",BOM!$R363="Cancelled"),"",IF(BOM!D363="","",BOM!D363))</f>
        <v/>
      </c>
      <c r="E357" s="5" t="str">
        <f aca="false">IF(OR(BOM!$D363="",BOM!$R363="Cancelled"),"",IF(BOM!E363="","",BOM!E363))</f>
        <v/>
      </c>
      <c r="F357" s="5" t="str">
        <f aca="false">IF(OR(BOM!$D363="",BOM!$R363="Cancelled"),"",IF(BOM!F363="","",BOM!F363))</f>
        <v/>
      </c>
      <c r="G357" s="5" t="str">
        <f aca="false">IF(OR(BOM!$D363="",BOM!$R363="Cancelled"),"",IF(BOM!J363="","",BOM!J363))</f>
        <v/>
      </c>
      <c r="H357" s="5" t="str">
        <f aca="false">IF(OR(BOM!$D363="",BOM!$R363="Cancelled"),"",IF(BOM!K363="","",BOM!K363))</f>
        <v/>
      </c>
      <c r="I357" s="5" t="str">
        <f aca="false">IF(OR(BOM!$D363="",BOM!$R363="Cancelled"),"",IF(BOM!M363="","",BOM!M363))</f>
        <v/>
      </c>
      <c r="J357" s="5" t="str">
        <f aca="false">IF(OR(BOM!$D363="",BOM!$R363="Cancelled"),"",IF(OR(BOM!R363="Received",BOM!R363="NSW Purchased"),"Received",IF(BOM!R363="Purchased – Not Received","Ordered",IF(BOM!R363="Finalized – Not Purchased","Design Released","In Design"))))</f>
        <v/>
      </c>
      <c r="K357" s="52" t="str">
        <f aca="false">IF(OR(BOM!$D363="",BOM!$R363="Cancelled"),"",IF(BOM!W363="","",BOM!W363))</f>
        <v/>
      </c>
    </row>
    <row r="358" customFormat="false" ht="15" hidden="false" customHeight="false" outlineLevel="0" collapsed="false">
      <c r="A358" s="5" t="str">
        <f aca="false">IF(OR(BOM!$D364="",BOM!$R364="Cancelled"),"",IF(BOM!A364="","",BOM!A364))</f>
        <v/>
      </c>
      <c r="B358" s="5" t="str">
        <f aca="false">IF(OR(BOM!$D364="",BOM!$R364="Cancelled"),"",IF(BOM!B364="","",BOM!B364))</f>
        <v/>
      </c>
      <c r="C358" s="5" t="str">
        <f aca="false">IF(OR(BOM!$D364="",BOM!$R364="Cancelled"),"",IF(BOM!C364="","",BOM!C364))</f>
        <v/>
      </c>
      <c r="D358" s="5" t="str">
        <f aca="false">IF(OR(BOM!$D364="",BOM!$R364="Cancelled"),"",IF(BOM!D364="","",BOM!D364))</f>
        <v/>
      </c>
      <c r="E358" s="5" t="str">
        <f aca="false">IF(OR(BOM!$D364="",BOM!$R364="Cancelled"),"",IF(BOM!E364="","",BOM!E364))</f>
        <v/>
      </c>
      <c r="F358" s="5" t="str">
        <f aca="false">IF(OR(BOM!$D364="",BOM!$R364="Cancelled"),"",IF(BOM!F364="","",BOM!F364))</f>
        <v/>
      </c>
      <c r="G358" s="5" t="str">
        <f aca="false">IF(OR(BOM!$D364="",BOM!$R364="Cancelled"),"",IF(BOM!J364="","",BOM!J364))</f>
        <v/>
      </c>
      <c r="H358" s="5" t="str">
        <f aca="false">IF(OR(BOM!$D364="",BOM!$R364="Cancelled"),"",IF(BOM!K364="","",BOM!K364))</f>
        <v/>
      </c>
      <c r="I358" s="5" t="str">
        <f aca="false">IF(OR(BOM!$D364="",BOM!$R364="Cancelled"),"",IF(BOM!M364="","",BOM!M364))</f>
        <v/>
      </c>
      <c r="J358" s="5" t="str">
        <f aca="false">IF(OR(BOM!$D364="",BOM!$R364="Cancelled"),"",IF(OR(BOM!R364="Received",BOM!R364="NSW Purchased"),"Received",IF(BOM!R364="Purchased – Not Received","Ordered",IF(BOM!R364="Finalized – Not Purchased","Design Released","In Design"))))</f>
        <v/>
      </c>
      <c r="K358" s="52" t="str">
        <f aca="false">IF(OR(BOM!$D364="",BOM!$R364="Cancelled"),"",IF(BOM!W364="","",BOM!W364))</f>
        <v/>
      </c>
    </row>
    <row r="359" customFormat="false" ht="15" hidden="false" customHeight="false" outlineLevel="0" collapsed="false">
      <c r="A359" s="5" t="str">
        <f aca="false">IF(OR(BOM!$D365="",BOM!$R365="Cancelled"),"",IF(BOM!A365="","",BOM!A365))</f>
        <v/>
      </c>
      <c r="B359" s="5" t="str">
        <f aca="false">IF(OR(BOM!$D365="",BOM!$R365="Cancelled"),"",IF(BOM!B365="","",BOM!B365))</f>
        <v/>
      </c>
      <c r="C359" s="5" t="str">
        <f aca="false">IF(OR(BOM!$D365="",BOM!$R365="Cancelled"),"",IF(BOM!C365="","",BOM!C365))</f>
        <v/>
      </c>
      <c r="D359" s="5" t="str">
        <f aca="false">IF(OR(BOM!$D365="",BOM!$R365="Cancelled"),"",IF(BOM!D365="","",BOM!D365))</f>
        <v/>
      </c>
      <c r="E359" s="5" t="str">
        <f aca="false">IF(OR(BOM!$D365="",BOM!$R365="Cancelled"),"",IF(BOM!E365="","",BOM!E365))</f>
        <v/>
      </c>
      <c r="F359" s="5" t="str">
        <f aca="false">IF(OR(BOM!$D365="",BOM!$R365="Cancelled"),"",IF(BOM!F365="","",BOM!F365))</f>
        <v/>
      </c>
      <c r="G359" s="5" t="str">
        <f aca="false">IF(OR(BOM!$D365="",BOM!$R365="Cancelled"),"",IF(BOM!J365="","",BOM!J365))</f>
        <v/>
      </c>
      <c r="H359" s="5" t="str">
        <f aca="false">IF(OR(BOM!$D365="",BOM!$R365="Cancelled"),"",IF(BOM!K365="","",BOM!K365))</f>
        <v/>
      </c>
      <c r="I359" s="5" t="str">
        <f aca="false">IF(OR(BOM!$D365="",BOM!$R365="Cancelled"),"",IF(BOM!M365="","",BOM!M365))</f>
        <v/>
      </c>
      <c r="J359" s="5" t="str">
        <f aca="false">IF(OR(BOM!$D365="",BOM!$R365="Cancelled"),"",IF(OR(BOM!R365="Received",BOM!R365="NSW Purchased"),"Received",IF(BOM!R365="Purchased – Not Received","Ordered",IF(BOM!R365="Finalized – Not Purchased","Design Released","In Design"))))</f>
        <v/>
      </c>
      <c r="K359" s="52" t="str">
        <f aca="false">IF(OR(BOM!$D365="",BOM!$R365="Cancelled"),"",IF(BOM!W365="","",BOM!W365))</f>
        <v/>
      </c>
    </row>
    <row r="360" customFormat="false" ht="15" hidden="false" customHeight="false" outlineLevel="0" collapsed="false">
      <c r="A360" s="5" t="str">
        <f aca="false">IF(OR(BOM!$D366="",BOM!$R366="Cancelled"),"",IF(BOM!A366="","",BOM!A366))</f>
        <v/>
      </c>
      <c r="B360" s="5" t="str">
        <f aca="false">IF(OR(BOM!$D366="",BOM!$R366="Cancelled"),"",IF(BOM!B366="","",BOM!B366))</f>
        <v/>
      </c>
      <c r="C360" s="5" t="str">
        <f aca="false">IF(OR(BOM!$D366="",BOM!$R366="Cancelled"),"",IF(BOM!C366="","",BOM!C366))</f>
        <v/>
      </c>
      <c r="D360" s="5" t="str">
        <f aca="false">IF(OR(BOM!$D366="",BOM!$R366="Cancelled"),"",IF(BOM!D366="","",BOM!D366))</f>
        <v/>
      </c>
      <c r="E360" s="5" t="str">
        <f aca="false">IF(OR(BOM!$D366="",BOM!$R366="Cancelled"),"",IF(BOM!E366="","",BOM!E366))</f>
        <v/>
      </c>
      <c r="F360" s="5" t="str">
        <f aca="false">IF(OR(BOM!$D366="",BOM!$R366="Cancelled"),"",IF(BOM!F366="","",BOM!F366))</f>
        <v/>
      </c>
      <c r="G360" s="5" t="str">
        <f aca="false">IF(OR(BOM!$D366="",BOM!$R366="Cancelled"),"",IF(BOM!J366="","",BOM!J366))</f>
        <v/>
      </c>
      <c r="H360" s="5" t="str">
        <f aca="false">IF(OR(BOM!$D366="",BOM!$R366="Cancelled"),"",IF(BOM!K366="","",BOM!K366))</f>
        <v/>
      </c>
      <c r="I360" s="5" t="str">
        <f aca="false">IF(OR(BOM!$D366="",BOM!$R366="Cancelled"),"",IF(BOM!M366="","",BOM!M366))</f>
        <v/>
      </c>
      <c r="J360" s="5" t="str">
        <f aca="false">IF(OR(BOM!$D366="",BOM!$R366="Cancelled"),"",IF(OR(BOM!R366="Received",BOM!R366="NSW Purchased"),"Received",IF(BOM!R366="Purchased – Not Received","Ordered",IF(BOM!R366="Finalized – Not Purchased","Design Released","In Design"))))</f>
        <v/>
      </c>
      <c r="K360" s="52" t="str">
        <f aca="false">IF(OR(BOM!$D366="",BOM!$R366="Cancelled"),"",IF(BOM!W366="","",BOM!W366))</f>
        <v/>
      </c>
    </row>
    <row r="361" customFormat="false" ht="15" hidden="false" customHeight="false" outlineLevel="0" collapsed="false">
      <c r="A361" s="5" t="str">
        <f aca="false">IF(OR(BOM!$D367="",BOM!$R367="Cancelled"),"",IF(BOM!A367="","",BOM!A367))</f>
        <v/>
      </c>
      <c r="B361" s="5" t="str">
        <f aca="false">IF(OR(BOM!$D367="",BOM!$R367="Cancelled"),"",IF(BOM!B367="","",BOM!B367))</f>
        <v/>
      </c>
      <c r="C361" s="5" t="str">
        <f aca="false">IF(OR(BOM!$D367="",BOM!$R367="Cancelled"),"",IF(BOM!C367="","",BOM!C367))</f>
        <v/>
      </c>
      <c r="D361" s="5" t="str">
        <f aca="false">IF(OR(BOM!$D367="",BOM!$R367="Cancelled"),"",IF(BOM!D367="","",BOM!D367))</f>
        <v/>
      </c>
      <c r="E361" s="5" t="str">
        <f aca="false">IF(OR(BOM!$D367="",BOM!$R367="Cancelled"),"",IF(BOM!E367="","",BOM!E367))</f>
        <v/>
      </c>
      <c r="F361" s="5" t="str">
        <f aca="false">IF(OR(BOM!$D367="",BOM!$R367="Cancelled"),"",IF(BOM!F367="","",BOM!F367))</f>
        <v/>
      </c>
      <c r="G361" s="5" t="str">
        <f aca="false">IF(OR(BOM!$D367="",BOM!$R367="Cancelled"),"",IF(BOM!J367="","",BOM!J367))</f>
        <v/>
      </c>
      <c r="H361" s="5" t="str">
        <f aca="false">IF(OR(BOM!$D367="",BOM!$R367="Cancelled"),"",IF(BOM!K367="","",BOM!K367))</f>
        <v/>
      </c>
      <c r="I361" s="5" t="str">
        <f aca="false">IF(OR(BOM!$D367="",BOM!$R367="Cancelled"),"",IF(BOM!M367="","",BOM!M367))</f>
        <v/>
      </c>
      <c r="J361" s="5" t="str">
        <f aca="false">IF(OR(BOM!$D367="",BOM!$R367="Cancelled"),"",IF(OR(BOM!R367="Received",BOM!R367="NSW Purchased"),"Received",IF(BOM!R367="Purchased – Not Received","Ordered",IF(BOM!R367="Finalized – Not Purchased","Design Released","In Design"))))</f>
        <v/>
      </c>
      <c r="K361" s="52" t="str">
        <f aca="false">IF(OR(BOM!$D367="",BOM!$R367="Cancelled"),"",IF(BOM!W367="","",BOM!W367))</f>
        <v/>
      </c>
    </row>
    <row r="362" customFormat="false" ht="15" hidden="false" customHeight="false" outlineLevel="0" collapsed="false">
      <c r="A362" s="5" t="str">
        <f aca="false">IF(OR(BOM!$D368="",BOM!$R368="Cancelled"),"",IF(BOM!A368="","",BOM!A368))</f>
        <v/>
      </c>
      <c r="B362" s="5" t="str">
        <f aca="false">IF(OR(BOM!$D368="",BOM!$R368="Cancelled"),"",IF(BOM!B368="","",BOM!B368))</f>
        <v/>
      </c>
      <c r="C362" s="5" t="str">
        <f aca="false">IF(OR(BOM!$D368="",BOM!$R368="Cancelled"),"",IF(BOM!C368="","",BOM!C368))</f>
        <v/>
      </c>
      <c r="D362" s="5" t="str">
        <f aca="false">IF(OR(BOM!$D368="",BOM!$R368="Cancelled"),"",IF(BOM!D368="","",BOM!D368))</f>
        <v/>
      </c>
      <c r="E362" s="5" t="str">
        <f aca="false">IF(OR(BOM!$D368="",BOM!$R368="Cancelled"),"",IF(BOM!E368="","",BOM!E368))</f>
        <v/>
      </c>
      <c r="F362" s="5" t="str">
        <f aca="false">IF(OR(BOM!$D368="",BOM!$R368="Cancelled"),"",IF(BOM!F368="","",BOM!F368))</f>
        <v/>
      </c>
      <c r="G362" s="5" t="str">
        <f aca="false">IF(OR(BOM!$D368="",BOM!$R368="Cancelled"),"",IF(BOM!J368="","",BOM!J368))</f>
        <v/>
      </c>
      <c r="H362" s="5" t="str">
        <f aca="false">IF(OR(BOM!$D368="",BOM!$R368="Cancelled"),"",IF(BOM!K368="","",BOM!K368))</f>
        <v/>
      </c>
      <c r="I362" s="5" t="str">
        <f aca="false">IF(OR(BOM!$D368="",BOM!$R368="Cancelled"),"",IF(BOM!M368="","",BOM!M368))</f>
        <v/>
      </c>
      <c r="J362" s="5" t="str">
        <f aca="false">IF(OR(BOM!$D368="",BOM!$R368="Cancelled"),"",IF(OR(BOM!R368="Received",BOM!R368="NSW Purchased"),"Received",IF(BOM!R368="Purchased – Not Received","Ordered",IF(BOM!R368="Finalized – Not Purchased","Design Released","In Design"))))</f>
        <v/>
      </c>
      <c r="K362" s="52" t="str">
        <f aca="false">IF(OR(BOM!$D368="",BOM!$R368="Cancelled"),"",IF(BOM!W368="","",BOM!W368))</f>
        <v/>
      </c>
    </row>
    <row r="363" customFormat="false" ht="15" hidden="false" customHeight="false" outlineLevel="0" collapsed="false">
      <c r="A363" s="5" t="str">
        <f aca="false">IF(OR(BOM!$D369="",BOM!$R369="Cancelled"),"",IF(BOM!A369="","",BOM!A369))</f>
        <v/>
      </c>
      <c r="B363" s="5" t="str">
        <f aca="false">IF(OR(BOM!$D369="",BOM!$R369="Cancelled"),"",IF(BOM!B369="","",BOM!B369))</f>
        <v/>
      </c>
      <c r="C363" s="5" t="str">
        <f aca="false">IF(OR(BOM!$D369="",BOM!$R369="Cancelled"),"",IF(BOM!C369="","",BOM!C369))</f>
        <v/>
      </c>
      <c r="D363" s="5" t="str">
        <f aca="false">IF(OR(BOM!$D369="",BOM!$R369="Cancelled"),"",IF(BOM!D369="","",BOM!D369))</f>
        <v/>
      </c>
      <c r="E363" s="5" t="str">
        <f aca="false">IF(OR(BOM!$D369="",BOM!$R369="Cancelled"),"",IF(BOM!E369="","",BOM!E369))</f>
        <v/>
      </c>
      <c r="F363" s="5" t="str">
        <f aca="false">IF(OR(BOM!$D369="",BOM!$R369="Cancelled"),"",IF(BOM!F369="","",BOM!F369))</f>
        <v/>
      </c>
      <c r="G363" s="5" t="str">
        <f aca="false">IF(OR(BOM!$D369="",BOM!$R369="Cancelled"),"",IF(BOM!J369="","",BOM!J369))</f>
        <v/>
      </c>
      <c r="H363" s="5" t="str">
        <f aca="false">IF(OR(BOM!$D369="",BOM!$R369="Cancelled"),"",IF(BOM!K369="","",BOM!K369))</f>
        <v/>
      </c>
      <c r="I363" s="5" t="str">
        <f aca="false">IF(OR(BOM!$D369="",BOM!$R369="Cancelled"),"",IF(BOM!M369="","",BOM!M369))</f>
        <v/>
      </c>
      <c r="J363" s="5" t="str">
        <f aca="false">IF(OR(BOM!$D369="",BOM!$R369="Cancelled"),"",IF(OR(BOM!R369="Received",BOM!R369="NSW Purchased"),"Received",IF(BOM!R369="Purchased – Not Received","Ordered",IF(BOM!R369="Finalized – Not Purchased","Design Released","In Design"))))</f>
        <v/>
      </c>
      <c r="K363" s="52" t="str">
        <f aca="false">IF(OR(BOM!$D369="",BOM!$R369="Cancelled"),"",IF(BOM!W369="","",BOM!W369))</f>
        <v/>
      </c>
    </row>
    <row r="364" customFormat="false" ht="15" hidden="false" customHeight="false" outlineLevel="0" collapsed="false">
      <c r="A364" s="5" t="str">
        <f aca="false">IF(OR(BOM!$D370="",BOM!$R370="Cancelled"),"",IF(BOM!A370="","",BOM!A370))</f>
        <v/>
      </c>
      <c r="B364" s="5" t="str">
        <f aca="false">IF(OR(BOM!$D370="",BOM!$R370="Cancelled"),"",IF(BOM!B370="","",BOM!B370))</f>
        <v/>
      </c>
      <c r="C364" s="5" t="str">
        <f aca="false">IF(OR(BOM!$D370="",BOM!$R370="Cancelled"),"",IF(BOM!C370="","",BOM!C370))</f>
        <v/>
      </c>
      <c r="D364" s="5" t="str">
        <f aca="false">IF(OR(BOM!$D370="",BOM!$R370="Cancelled"),"",IF(BOM!D370="","",BOM!D370))</f>
        <v/>
      </c>
      <c r="E364" s="5" t="str">
        <f aca="false">IF(OR(BOM!$D370="",BOM!$R370="Cancelled"),"",IF(BOM!E370="","",BOM!E370))</f>
        <v/>
      </c>
      <c r="F364" s="5" t="str">
        <f aca="false">IF(OR(BOM!$D370="",BOM!$R370="Cancelled"),"",IF(BOM!F370="","",BOM!F370))</f>
        <v/>
      </c>
      <c r="G364" s="5" t="str">
        <f aca="false">IF(OR(BOM!$D370="",BOM!$R370="Cancelled"),"",IF(BOM!J370="","",BOM!J370))</f>
        <v/>
      </c>
      <c r="H364" s="5" t="str">
        <f aca="false">IF(OR(BOM!$D370="",BOM!$R370="Cancelled"),"",IF(BOM!K370="","",BOM!K370))</f>
        <v/>
      </c>
      <c r="I364" s="5" t="str">
        <f aca="false">IF(OR(BOM!$D370="",BOM!$R370="Cancelled"),"",IF(BOM!M370="","",BOM!M370))</f>
        <v/>
      </c>
      <c r="J364" s="5" t="str">
        <f aca="false">IF(OR(BOM!$D370="",BOM!$R370="Cancelled"),"",IF(OR(BOM!R370="Received",BOM!R370="NSW Purchased"),"Received",IF(BOM!R370="Purchased – Not Received","Ordered",IF(BOM!R370="Finalized – Not Purchased","Design Released","In Design"))))</f>
        <v/>
      </c>
      <c r="K364" s="52" t="str">
        <f aca="false">IF(OR(BOM!$D370="",BOM!$R370="Cancelled"),"",IF(BOM!W370="","",BOM!W370))</f>
        <v/>
      </c>
    </row>
    <row r="365" customFormat="false" ht="15" hidden="false" customHeight="false" outlineLevel="0" collapsed="false">
      <c r="A365" s="5" t="str">
        <f aca="false">IF(OR(BOM!$D371="",BOM!$R371="Cancelled"),"",IF(BOM!A371="","",BOM!A371))</f>
        <v/>
      </c>
      <c r="B365" s="5" t="str">
        <f aca="false">IF(OR(BOM!$D371="",BOM!$R371="Cancelled"),"",IF(BOM!B371="","",BOM!B371))</f>
        <v/>
      </c>
      <c r="C365" s="5" t="str">
        <f aca="false">IF(OR(BOM!$D371="",BOM!$R371="Cancelled"),"",IF(BOM!C371="","",BOM!C371))</f>
        <v/>
      </c>
      <c r="D365" s="5" t="str">
        <f aca="false">IF(OR(BOM!$D371="",BOM!$R371="Cancelled"),"",IF(BOM!D371="","",BOM!D371))</f>
        <v/>
      </c>
      <c r="E365" s="5" t="str">
        <f aca="false">IF(OR(BOM!$D371="",BOM!$R371="Cancelled"),"",IF(BOM!E371="","",BOM!E371))</f>
        <v/>
      </c>
      <c r="F365" s="5" t="str">
        <f aca="false">IF(OR(BOM!$D371="",BOM!$R371="Cancelled"),"",IF(BOM!F371="","",BOM!F371))</f>
        <v/>
      </c>
      <c r="G365" s="5" t="str">
        <f aca="false">IF(OR(BOM!$D371="",BOM!$R371="Cancelled"),"",IF(BOM!J371="","",BOM!J371))</f>
        <v/>
      </c>
      <c r="H365" s="5" t="str">
        <f aca="false">IF(OR(BOM!$D371="",BOM!$R371="Cancelled"),"",IF(BOM!K371="","",BOM!K371))</f>
        <v/>
      </c>
      <c r="I365" s="5" t="str">
        <f aca="false">IF(OR(BOM!$D371="",BOM!$R371="Cancelled"),"",IF(BOM!M371="","",BOM!M371))</f>
        <v/>
      </c>
      <c r="J365" s="5" t="str">
        <f aca="false">IF(OR(BOM!$D371="",BOM!$R371="Cancelled"),"",IF(OR(BOM!R371="Received",BOM!R371="NSW Purchased"),"Received",IF(BOM!R371="Purchased – Not Received","Ordered",IF(BOM!R371="Finalized – Not Purchased","Design Released","In Design"))))</f>
        <v/>
      </c>
      <c r="K365" s="52" t="str">
        <f aca="false">IF(OR(BOM!$D371="",BOM!$R371="Cancelled"),"",IF(BOM!W371="","",BOM!W371))</f>
        <v/>
      </c>
    </row>
    <row r="366" customFormat="false" ht="15" hidden="false" customHeight="false" outlineLevel="0" collapsed="false">
      <c r="A366" s="5" t="str">
        <f aca="false">IF(OR(BOM!$D372="",BOM!$R372="Cancelled"),"",IF(BOM!A372="","",BOM!A372))</f>
        <v/>
      </c>
      <c r="B366" s="5" t="str">
        <f aca="false">IF(OR(BOM!$D372="",BOM!$R372="Cancelled"),"",IF(BOM!B372="","",BOM!B372))</f>
        <v/>
      </c>
      <c r="C366" s="5" t="str">
        <f aca="false">IF(OR(BOM!$D372="",BOM!$R372="Cancelled"),"",IF(BOM!C372="","",BOM!C372))</f>
        <v/>
      </c>
      <c r="D366" s="5" t="str">
        <f aca="false">IF(OR(BOM!$D372="",BOM!$R372="Cancelled"),"",IF(BOM!D372="","",BOM!D372))</f>
        <v/>
      </c>
      <c r="E366" s="5" t="str">
        <f aca="false">IF(OR(BOM!$D372="",BOM!$R372="Cancelled"),"",IF(BOM!E372="","",BOM!E372))</f>
        <v/>
      </c>
      <c r="F366" s="5" t="str">
        <f aca="false">IF(OR(BOM!$D372="",BOM!$R372="Cancelled"),"",IF(BOM!F372="","",BOM!F372))</f>
        <v/>
      </c>
      <c r="G366" s="5" t="str">
        <f aca="false">IF(OR(BOM!$D372="",BOM!$R372="Cancelled"),"",IF(BOM!J372="","",BOM!J372))</f>
        <v/>
      </c>
      <c r="H366" s="5" t="str">
        <f aca="false">IF(OR(BOM!$D372="",BOM!$R372="Cancelled"),"",IF(BOM!K372="","",BOM!K372))</f>
        <v/>
      </c>
      <c r="I366" s="5" t="str">
        <f aca="false">IF(OR(BOM!$D372="",BOM!$R372="Cancelled"),"",IF(BOM!M372="","",BOM!M372))</f>
        <v/>
      </c>
      <c r="J366" s="5" t="str">
        <f aca="false">IF(OR(BOM!$D372="",BOM!$R372="Cancelled"),"",IF(OR(BOM!R372="Received",BOM!R372="NSW Purchased"),"Received",IF(BOM!R372="Purchased – Not Received","Ordered",IF(BOM!R372="Finalized – Not Purchased","Design Released","In Design"))))</f>
        <v/>
      </c>
      <c r="K366" s="52" t="str">
        <f aca="false">IF(OR(BOM!$D372="",BOM!$R372="Cancelled"),"",IF(BOM!W372="","",BOM!W372))</f>
        <v/>
      </c>
    </row>
    <row r="367" customFormat="false" ht="15" hidden="false" customHeight="false" outlineLevel="0" collapsed="false">
      <c r="A367" s="5" t="str">
        <f aca="false">IF(OR(BOM!$D373="",BOM!$R373="Cancelled"),"",IF(BOM!A373="","",BOM!A373))</f>
        <v/>
      </c>
      <c r="B367" s="5" t="str">
        <f aca="false">IF(OR(BOM!$D373="",BOM!$R373="Cancelled"),"",IF(BOM!B373="","",BOM!B373))</f>
        <v/>
      </c>
      <c r="C367" s="5" t="str">
        <f aca="false">IF(OR(BOM!$D373="",BOM!$R373="Cancelled"),"",IF(BOM!C373="","",BOM!C373))</f>
        <v/>
      </c>
      <c r="D367" s="5" t="str">
        <f aca="false">IF(OR(BOM!$D373="",BOM!$R373="Cancelled"),"",IF(BOM!D373="","",BOM!D373))</f>
        <v/>
      </c>
      <c r="E367" s="5" t="str">
        <f aca="false">IF(OR(BOM!$D373="",BOM!$R373="Cancelled"),"",IF(BOM!E373="","",BOM!E373))</f>
        <v/>
      </c>
      <c r="F367" s="5" t="str">
        <f aca="false">IF(OR(BOM!$D373="",BOM!$R373="Cancelled"),"",IF(BOM!F373="","",BOM!F373))</f>
        <v/>
      </c>
      <c r="G367" s="5" t="str">
        <f aca="false">IF(OR(BOM!$D373="",BOM!$R373="Cancelled"),"",IF(BOM!J373="","",BOM!J373))</f>
        <v/>
      </c>
      <c r="H367" s="5" t="str">
        <f aca="false">IF(OR(BOM!$D373="",BOM!$R373="Cancelled"),"",IF(BOM!K373="","",BOM!K373))</f>
        <v/>
      </c>
      <c r="I367" s="5" t="str">
        <f aca="false">IF(OR(BOM!$D373="",BOM!$R373="Cancelled"),"",IF(BOM!M373="","",BOM!M373))</f>
        <v/>
      </c>
      <c r="J367" s="5" t="str">
        <f aca="false">IF(OR(BOM!$D373="",BOM!$R373="Cancelled"),"",IF(OR(BOM!R373="Received",BOM!R373="NSW Purchased"),"Received",IF(BOM!R373="Purchased – Not Received","Ordered",IF(BOM!R373="Finalized – Not Purchased","Design Released","In Design"))))</f>
        <v/>
      </c>
      <c r="K367" s="52" t="str">
        <f aca="false">IF(OR(BOM!$D373="",BOM!$R373="Cancelled"),"",IF(BOM!W373="","",BOM!W373))</f>
        <v/>
      </c>
    </row>
    <row r="368" customFormat="false" ht="15" hidden="false" customHeight="false" outlineLevel="0" collapsed="false">
      <c r="A368" s="5" t="str">
        <f aca="false">IF(OR(BOM!$D374="",BOM!$R374="Cancelled"),"",IF(BOM!A374="","",BOM!A374))</f>
        <v/>
      </c>
      <c r="B368" s="5" t="str">
        <f aca="false">IF(OR(BOM!$D374="",BOM!$R374="Cancelled"),"",IF(BOM!B374="","",BOM!B374))</f>
        <v/>
      </c>
      <c r="C368" s="5" t="str">
        <f aca="false">IF(OR(BOM!$D374="",BOM!$R374="Cancelled"),"",IF(BOM!C374="","",BOM!C374))</f>
        <v/>
      </c>
      <c r="D368" s="5" t="str">
        <f aca="false">IF(OR(BOM!$D374="",BOM!$R374="Cancelled"),"",IF(BOM!D374="","",BOM!D374))</f>
        <v/>
      </c>
      <c r="E368" s="5" t="str">
        <f aca="false">IF(OR(BOM!$D374="",BOM!$R374="Cancelled"),"",IF(BOM!E374="","",BOM!E374))</f>
        <v/>
      </c>
      <c r="F368" s="5" t="str">
        <f aca="false">IF(OR(BOM!$D374="",BOM!$R374="Cancelled"),"",IF(BOM!F374="","",BOM!F374))</f>
        <v/>
      </c>
      <c r="G368" s="5" t="str">
        <f aca="false">IF(OR(BOM!$D374="",BOM!$R374="Cancelled"),"",IF(BOM!J374="","",BOM!J374))</f>
        <v/>
      </c>
      <c r="H368" s="5" t="str">
        <f aca="false">IF(OR(BOM!$D374="",BOM!$R374="Cancelled"),"",IF(BOM!K374="","",BOM!K374))</f>
        <v/>
      </c>
      <c r="I368" s="5" t="str">
        <f aca="false">IF(OR(BOM!$D374="",BOM!$R374="Cancelled"),"",IF(BOM!M374="","",BOM!M374))</f>
        <v/>
      </c>
      <c r="J368" s="5" t="str">
        <f aca="false">IF(OR(BOM!$D374="",BOM!$R374="Cancelled"),"",IF(OR(BOM!R374="Received",BOM!R374="NSW Purchased"),"Received",IF(BOM!R374="Purchased – Not Received","Ordered",IF(BOM!R374="Finalized – Not Purchased","Design Released","In Design"))))</f>
        <v/>
      </c>
      <c r="K368" s="52" t="str">
        <f aca="false">IF(OR(BOM!$D374="",BOM!$R374="Cancelled"),"",IF(BOM!W374="","",BOM!W374))</f>
        <v/>
      </c>
    </row>
    <row r="369" customFormat="false" ht="15" hidden="false" customHeight="false" outlineLevel="0" collapsed="false">
      <c r="A369" s="5" t="str">
        <f aca="false">IF(OR(BOM!$D375="",BOM!$R375="Cancelled"),"",IF(BOM!A375="","",BOM!A375))</f>
        <v/>
      </c>
      <c r="B369" s="5" t="str">
        <f aca="false">IF(OR(BOM!$D375="",BOM!$R375="Cancelled"),"",IF(BOM!B375="","",BOM!B375))</f>
        <v/>
      </c>
      <c r="C369" s="5" t="str">
        <f aca="false">IF(OR(BOM!$D375="",BOM!$R375="Cancelled"),"",IF(BOM!C375="","",BOM!C375))</f>
        <v/>
      </c>
      <c r="D369" s="5" t="str">
        <f aca="false">IF(OR(BOM!$D375="",BOM!$R375="Cancelled"),"",IF(BOM!D375="","",BOM!D375))</f>
        <v/>
      </c>
      <c r="E369" s="5" t="str">
        <f aca="false">IF(OR(BOM!$D375="",BOM!$R375="Cancelled"),"",IF(BOM!E375="","",BOM!E375))</f>
        <v/>
      </c>
      <c r="F369" s="5" t="str">
        <f aca="false">IF(OR(BOM!$D375="",BOM!$R375="Cancelled"),"",IF(BOM!F375="","",BOM!F375))</f>
        <v/>
      </c>
      <c r="G369" s="5" t="str">
        <f aca="false">IF(OR(BOM!$D375="",BOM!$R375="Cancelled"),"",IF(BOM!J375="","",BOM!J375))</f>
        <v/>
      </c>
      <c r="H369" s="5" t="str">
        <f aca="false">IF(OR(BOM!$D375="",BOM!$R375="Cancelled"),"",IF(BOM!K375="","",BOM!K375))</f>
        <v/>
      </c>
      <c r="I369" s="5" t="str">
        <f aca="false">IF(OR(BOM!$D375="",BOM!$R375="Cancelled"),"",IF(BOM!M375="","",BOM!M375))</f>
        <v/>
      </c>
      <c r="J369" s="5" t="str">
        <f aca="false">IF(OR(BOM!$D375="",BOM!$R375="Cancelled"),"",IF(OR(BOM!R375="Received",BOM!R375="NSW Purchased"),"Received",IF(BOM!R375="Purchased – Not Received","Ordered",IF(BOM!R375="Finalized – Not Purchased","Design Released","In Design"))))</f>
        <v/>
      </c>
      <c r="K369" s="52" t="str">
        <f aca="false">IF(OR(BOM!$D375="",BOM!$R375="Cancelled"),"",IF(BOM!W375="","",BOM!W375))</f>
        <v/>
      </c>
    </row>
    <row r="370" customFormat="false" ht="15" hidden="false" customHeight="false" outlineLevel="0" collapsed="false">
      <c r="A370" s="5" t="str">
        <f aca="false">IF(OR(BOM!$D376="",BOM!$R376="Cancelled"),"",IF(BOM!A376="","",BOM!A376))</f>
        <v/>
      </c>
      <c r="B370" s="5" t="str">
        <f aca="false">IF(OR(BOM!$D376="",BOM!$R376="Cancelled"),"",IF(BOM!B376="","",BOM!B376))</f>
        <v/>
      </c>
      <c r="C370" s="5" t="str">
        <f aca="false">IF(OR(BOM!$D376="",BOM!$R376="Cancelled"),"",IF(BOM!C376="","",BOM!C376))</f>
        <v/>
      </c>
      <c r="D370" s="5" t="str">
        <f aca="false">IF(OR(BOM!$D376="",BOM!$R376="Cancelled"),"",IF(BOM!D376="","",BOM!D376))</f>
        <v/>
      </c>
      <c r="E370" s="5" t="str">
        <f aca="false">IF(OR(BOM!$D376="",BOM!$R376="Cancelled"),"",IF(BOM!E376="","",BOM!E376))</f>
        <v/>
      </c>
      <c r="F370" s="5" t="str">
        <f aca="false">IF(OR(BOM!$D376="",BOM!$R376="Cancelled"),"",IF(BOM!F376="","",BOM!F376))</f>
        <v/>
      </c>
      <c r="G370" s="5" t="str">
        <f aca="false">IF(OR(BOM!$D376="",BOM!$R376="Cancelled"),"",IF(BOM!J376="","",BOM!J376))</f>
        <v/>
      </c>
      <c r="H370" s="5" t="str">
        <f aca="false">IF(OR(BOM!$D376="",BOM!$R376="Cancelled"),"",IF(BOM!K376="","",BOM!K376))</f>
        <v/>
      </c>
      <c r="I370" s="5" t="str">
        <f aca="false">IF(OR(BOM!$D376="",BOM!$R376="Cancelled"),"",IF(BOM!M376="","",BOM!M376))</f>
        <v/>
      </c>
      <c r="J370" s="5" t="str">
        <f aca="false">IF(OR(BOM!$D376="",BOM!$R376="Cancelled"),"",IF(OR(BOM!R376="Received",BOM!R376="NSW Purchased"),"Received",IF(BOM!R376="Purchased – Not Received","Ordered",IF(BOM!R376="Finalized – Not Purchased","Design Released","In Design"))))</f>
        <v/>
      </c>
      <c r="K370" s="52" t="str">
        <f aca="false">IF(OR(BOM!$D376="",BOM!$R376="Cancelled"),"",IF(BOM!W376="","",BOM!W376))</f>
        <v/>
      </c>
    </row>
    <row r="371" customFormat="false" ht="15" hidden="false" customHeight="false" outlineLevel="0" collapsed="false">
      <c r="A371" s="5" t="str">
        <f aca="false">IF(OR(BOM!$D377="",BOM!$R377="Cancelled"),"",IF(BOM!A377="","",BOM!A377))</f>
        <v/>
      </c>
      <c r="B371" s="5" t="str">
        <f aca="false">IF(OR(BOM!$D377="",BOM!$R377="Cancelled"),"",IF(BOM!B377="","",BOM!B377))</f>
        <v/>
      </c>
      <c r="C371" s="5" t="str">
        <f aca="false">IF(OR(BOM!$D377="",BOM!$R377="Cancelled"),"",IF(BOM!C377="","",BOM!C377))</f>
        <v/>
      </c>
      <c r="D371" s="5" t="str">
        <f aca="false">IF(OR(BOM!$D377="",BOM!$R377="Cancelled"),"",IF(BOM!D377="","",BOM!D377))</f>
        <v/>
      </c>
      <c r="E371" s="5" t="str">
        <f aca="false">IF(OR(BOM!$D377="",BOM!$R377="Cancelled"),"",IF(BOM!E377="","",BOM!E377))</f>
        <v/>
      </c>
      <c r="F371" s="5" t="str">
        <f aca="false">IF(OR(BOM!$D377="",BOM!$R377="Cancelled"),"",IF(BOM!F377="","",BOM!F377))</f>
        <v/>
      </c>
      <c r="G371" s="5" t="str">
        <f aca="false">IF(OR(BOM!$D377="",BOM!$R377="Cancelled"),"",IF(BOM!J377="","",BOM!J377))</f>
        <v/>
      </c>
      <c r="H371" s="5" t="str">
        <f aca="false">IF(OR(BOM!$D377="",BOM!$R377="Cancelled"),"",IF(BOM!K377="","",BOM!K377))</f>
        <v/>
      </c>
      <c r="I371" s="5" t="str">
        <f aca="false">IF(OR(BOM!$D377="",BOM!$R377="Cancelled"),"",IF(BOM!M377="","",BOM!M377))</f>
        <v/>
      </c>
      <c r="J371" s="5" t="str">
        <f aca="false">IF(OR(BOM!$D377="",BOM!$R377="Cancelled"),"",IF(OR(BOM!R377="Received",BOM!R377="NSW Purchased"),"Received",IF(BOM!R377="Purchased – Not Received","Ordered",IF(BOM!R377="Finalized – Not Purchased","Design Released","In Design"))))</f>
        <v/>
      </c>
      <c r="K371" s="52" t="str">
        <f aca="false">IF(OR(BOM!$D377="",BOM!$R377="Cancelled"),"",IF(BOM!W377="","",BOM!W377))</f>
        <v/>
      </c>
    </row>
    <row r="372" customFormat="false" ht="15" hidden="false" customHeight="false" outlineLevel="0" collapsed="false">
      <c r="A372" s="5" t="str">
        <f aca="false">IF(OR(BOM!$D378="",BOM!$R378="Cancelled"),"",IF(BOM!A378="","",BOM!A378))</f>
        <v/>
      </c>
      <c r="B372" s="5" t="str">
        <f aca="false">IF(OR(BOM!$D378="",BOM!$R378="Cancelled"),"",IF(BOM!B378="","",BOM!B378))</f>
        <v/>
      </c>
      <c r="C372" s="5" t="str">
        <f aca="false">IF(OR(BOM!$D378="",BOM!$R378="Cancelled"),"",IF(BOM!C378="","",BOM!C378))</f>
        <v/>
      </c>
      <c r="D372" s="5" t="str">
        <f aca="false">IF(OR(BOM!$D378="",BOM!$R378="Cancelled"),"",IF(BOM!D378="","",BOM!D378))</f>
        <v/>
      </c>
      <c r="E372" s="5" t="str">
        <f aca="false">IF(OR(BOM!$D378="",BOM!$R378="Cancelled"),"",IF(BOM!E378="","",BOM!E378))</f>
        <v/>
      </c>
      <c r="F372" s="5" t="str">
        <f aca="false">IF(OR(BOM!$D378="",BOM!$R378="Cancelled"),"",IF(BOM!F378="","",BOM!F378))</f>
        <v/>
      </c>
      <c r="G372" s="5" t="str">
        <f aca="false">IF(OR(BOM!$D378="",BOM!$R378="Cancelled"),"",IF(BOM!J378="","",BOM!J378))</f>
        <v/>
      </c>
      <c r="H372" s="5" t="str">
        <f aca="false">IF(OR(BOM!$D378="",BOM!$R378="Cancelled"),"",IF(BOM!K378="","",BOM!K378))</f>
        <v/>
      </c>
      <c r="I372" s="5" t="str">
        <f aca="false">IF(OR(BOM!$D378="",BOM!$R378="Cancelled"),"",IF(BOM!M378="","",BOM!M378))</f>
        <v/>
      </c>
      <c r="J372" s="5" t="str">
        <f aca="false">IF(OR(BOM!$D378="",BOM!$R378="Cancelled"),"",IF(OR(BOM!R378="Received",BOM!R378="NSW Purchased"),"Received",IF(BOM!R378="Purchased – Not Received","Ordered",IF(BOM!R378="Finalized – Not Purchased","Design Released","In Design"))))</f>
        <v/>
      </c>
      <c r="K372" s="52" t="str">
        <f aca="false">IF(OR(BOM!$D378="",BOM!$R378="Cancelled"),"",IF(BOM!W378="","",BOM!W378))</f>
        <v/>
      </c>
    </row>
    <row r="373" customFormat="false" ht="15" hidden="false" customHeight="false" outlineLevel="0" collapsed="false">
      <c r="A373" s="5" t="str">
        <f aca="false">IF(OR(BOM!$D379="",BOM!$R379="Cancelled"),"",IF(BOM!A379="","",BOM!A379))</f>
        <v/>
      </c>
      <c r="B373" s="5" t="str">
        <f aca="false">IF(OR(BOM!$D379="",BOM!$R379="Cancelled"),"",IF(BOM!B379="","",BOM!B379))</f>
        <v/>
      </c>
      <c r="C373" s="5" t="str">
        <f aca="false">IF(OR(BOM!$D379="",BOM!$R379="Cancelled"),"",IF(BOM!C379="","",BOM!C379))</f>
        <v/>
      </c>
      <c r="D373" s="5" t="str">
        <f aca="false">IF(OR(BOM!$D379="",BOM!$R379="Cancelled"),"",IF(BOM!D379="","",BOM!D379))</f>
        <v/>
      </c>
      <c r="E373" s="5" t="str">
        <f aca="false">IF(OR(BOM!$D379="",BOM!$R379="Cancelled"),"",IF(BOM!E379="","",BOM!E379))</f>
        <v/>
      </c>
      <c r="F373" s="5" t="str">
        <f aca="false">IF(OR(BOM!$D379="",BOM!$R379="Cancelled"),"",IF(BOM!F379="","",BOM!F379))</f>
        <v/>
      </c>
      <c r="G373" s="5" t="str">
        <f aca="false">IF(OR(BOM!$D379="",BOM!$R379="Cancelled"),"",IF(BOM!J379="","",BOM!J379))</f>
        <v/>
      </c>
      <c r="H373" s="5" t="str">
        <f aca="false">IF(OR(BOM!$D379="",BOM!$R379="Cancelled"),"",IF(BOM!K379="","",BOM!K379))</f>
        <v/>
      </c>
      <c r="I373" s="5" t="str">
        <f aca="false">IF(OR(BOM!$D379="",BOM!$R379="Cancelled"),"",IF(BOM!M379="","",BOM!M379))</f>
        <v/>
      </c>
      <c r="J373" s="5" t="str">
        <f aca="false">IF(OR(BOM!$D379="",BOM!$R379="Cancelled"),"",IF(OR(BOM!R379="Received",BOM!R379="NSW Purchased"),"Received",IF(BOM!R379="Purchased – Not Received","Ordered",IF(BOM!R379="Finalized – Not Purchased","Design Released","In Design"))))</f>
        <v/>
      </c>
      <c r="K373" s="52" t="str">
        <f aca="false">IF(OR(BOM!$D379="",BOM!$R379="Cancelled"),"",IF(BOM!W379="","",BOM!W379))</f>
        <v/>
      </c>
    </row>
    <row r="374" customFormat="false" ht="15" hidden="false" customHeight="false" outlineLevel="0" collapsed="false">
      <c r="A374" s="5" t="str">
        <f aca="false">IF(OR(BOM!$D380="",BOM!$R380="Cancelled"),"",IF(BOM!A380="","",BOM!A380))</f>
        <v/>
      </c>
      <c r="B374" s="5" t="str">
        <f aca="false">IF(OR(BOM!$D380="",BOM!$R380="Cancelled"),"",IF(BOM!B380="","",BOM!B380))</f>
        <v/>
      </c>
      <c r="C374" s="5" t="str">
        <f aca="false">IF(OR(BOM!$D380="",BOM!$R380="Cancelled"),"",IF(BOM!C380="","",BOM!C380))</f>
        <v/>
      </c>
      <c r="D374" s="5" t="str">
        <f aca="false">IF(OR(BOM!$D380="",BOM!$R380="Cancelled"),"",IF(BOM!D380="","",BOM!D380))</f>
        <v/>
      </c>
      <c r="E374" s="5" t="str">
        <f aca="false">IF(OR(BOM!$D380="",BOM!$R380="Cancelled"),"",IF(BOM!E380="","",BOM!E380))</f>
        <v/>
      </c>
      <c r="F374" s="5" t="str">
        <f aca="false">IF(OR(BOM!$D380="",BOM!$R380="Cancelled"),"",IF(BOM!F380="","",BOM!F380))</f>
        <v/>
      </c>
      <c r="G374" s="5" t="str">
        <f aca="false">IF(OR(BOM!$D380="",BOM!$R380="Cancelled"),"",IF(BOM!J380="","",BOM!J380))</f>
        <v/>
      </c>
      <c r="H374" s="5" t="str">
        <f aca="false">IF(OR(BOM!$D380="",BOM!$R380="Cancelled"),"",IF(BOM!K380="","",BOM!K380))</f>
        <v/>
      </c>
      <c r="I374" s="5" t="str">
        <f aca="false">IF(OR(BOM!$D380="",BOM!$R380="Cancelled"),"",IF(BOM!M380="","",BOM!M380))</f>
        <v/>
      </c>
      <c r="J374" s="5" t="str">
        <f aca="false">IF(OR(BOM!$D380="",BOM!$R380="Cancelled"),"",IF(OR(BOM!R380="Received",BOM!R380="NSW Purchased"),"Received",IF(BOM!R380="Purchased – Not Received","Ordered",IF(BOM!R380="Finalized – Not Purchased","Design Released","In Design"))))</f>
        <v/>
      </c>
      <c r="K374" s="52" t="str">
        <f aca="false">IF(OR(BOM!$D380="",BOM!$R380="Cancelled"),"",IF(BOM!W380="","",BOM!W380))</f>
        <v/>
      </c>
    </row>
    <row r="375" customFormat="false" ht="15" hidden="false" customHeight="false" outlineLevel="0" collapsed="false">
      <c r="A375" s="5" t="str">
        <f aca="false">IF(OR(BOM!$D381="",BOM!$R381="Cancelled"),"",IF(BOM!A381="","",BOM!A381))</f>
        <v/>
      </c>
      <c r="B375" s="5" t="str">
        <f aca="false">IF(OR(BOM!$D381="",BOM!$R381="Cancelled"),"",IF(BOM!B381="","",BOM!B381))</f>
        <v/>
      </c>
      <c r="C375" s="5" t="str">
        <f aca="false">IF(OR(BOM!$D381="",BOM!$R381="Cancelled"),"",IF(BOM!C381="","",BOM!C381))</f>
        <v/>
      </c>
      <c r="D375" s="5" t="str">
        <f aca="false">IF(OR(BOM!$D381="",BOM!$R381="Cancelled"),"",IF(BOM!D381="","",BOM!D381))</f>
        <v/>
      </c>
      <c r="E375" s="5" t="str">
        <f aca="false">IF(OR(BOM!$D381="",BOM!$R381="Cancelled"),"",IF(BOM!E381="","",BOM!E381))</f>
        <v/>
      </c>
      <c r="F375" s="5" t="str">
        <f aca="false">IF(OR(BOM!$D381="",BOM!$R381="Cancelled"),"",IF(BOM!F381="","",BOM!F381))</f>
        <v/>
      </c>
      <c r="G375" s="5" t="str">
        <f aca="false">IF(OR(BOM!$D381="",BOM!$R381="Cancelled"),"",IF(BOM!J381="","",BOM!J381))</f>
        <v/>
      </c>
      <c r="H375" s="5" t="str">
        <f aca="false">IF(OR(BOM!$D381="",BOM!$R381="Cancelled"),"",IF(BOM!K381="","",BOM!K381))</f>
        <v/>
      </c>
      <c r="I375" s="5" t="str">
        <f aca="false">IF(OR(BOM!$D381="",BOM!$R381="Cancelled"),"",IF(BOM!M381="","",BOM!M381))</f>
        <v/>
      </c>
      <c r="J375" s="5" t="str">
        <f aca="false">IF(OR(BOM!$D381="",BOM!$R381="Cancelled"),"",IF(OR(BOM!R381="Received",BOM!R381="NSW Purchased"),"Received",IF(BOM!R381="Purchased – Not Received","Ordered",IF(BOM!R381="Finalized – Not Purchased","Design Released","In Design"))))</f>
        <v/>
      </c>
      <c r="K375" s="52" t="str">
        <f aca="false">IF(OR(BOM!$D381="",BOM!$R381="Cancelled"),"",IF(BOM!W381="","",BOM!W381))</f>
        <v/>
      </c>
    </row>
    <row r="376" customFormat="false" ht="15" hidden="false" customHeight="false" outlineLevel="0" collapsed="false">
      <c r="A376" s="5" t="str">
        <f aca="false">IF(OR(BOM!$D382="",BOM!$R382="Cancelled"),"",IF(BOM!A382="","",BOM!A382))</f>
        <v/>
      </c>
      <c r="B376" s="5" t="str">
        <f aca="false">IF(OR(BOM!$D382="",BOM!$R382="Cancelled"),"",IF(BOM!B382="","",BOM!B382))</f>
        <v/>
      </c>
      <c r="C376" s="5" t="str">
        <f aca="false">IF(OR(BOM!$D382="",BOM!$R382="Cancelled"),"",IF(BOM!C382="","",BOM!C382))</f>
        <v/>
      </c>
      <c r="D376" s="5" t="str">
        <f aca="false">IF(OR(BOM!$D382="",BOM!$R382="Cancelled"),"",IF(BOM!D382="","",BOM!D382))</f>
        <v/>
      </c>
      <c r="E376" s="5" t="str">
        <f aca="false">IF(OR(BOM!$D382="",BOM!$R382="Cancelled"),"",IF(BOM!E382="","",BOM!E382))</f>
        <v/>
      </c>
      <c r="F376" s="5" t="str">
        <f aca="false">IF(OR(BOM!$D382="",BOM!$R382="Cancelled"),"",IF(BOM!F382="","",BOM!F382))</f>
        <v/>
      </c>
      <c r="G376" s="5" t="str">
        <f aca="false">IF(OR(BOM!$D382="",BOM!$R382="Cancelled"),"",IF(BOM!J382="","",BOM!J382))</f>
        <v/>
      </c>
      <c r="H376" s="5" t="str">
        <f aca="false">IF(OR(BOM!$D382="",BOM!$R382="Cancelled"),"",IF(BOM!K382="","",BOM!K382))</f>
        <v/>
      </c>
      <c r="I376" s="5" t="str">
        <f aca="false">IF(OR(BOM!$D382="",BOM!$R382="Cancelled"),"",IF(BOM!M382="","",BOM!M382))</f>
        <v/>
      </c>
      <c r="J376" s="5" t="str">
        <f aca="false">IF(OR(BOM!$D382="",BOM!$R382="Cancelled"),"",IF(OR(BOM!R382="Received",BOM!R382="NSW Purchased"),"Received",IF(BOM!R382="Purchased – Not Received","Ordered",IF(BOM!R382="Finalized – Not Purchased","Design Released","In Design"))))</f>
        <v/>
      </c>
      <c r="K376" s="52" t="str">
        <f aca="false">IF(OR(BOM!$D382="",BOM!$R382="Cancelled"),"",IF(BOM!W382="","",BOM!W382))</f>
        <v/>
      </c>
    </row>
    <row r="377" customFormat="false" ht="15" hidden="false" customHeight="false" outlineLevel="0" collapsed="false">
      <c r="A377" s="5" t="str">
        <f aca="false">IF(OR(BOM!$D383="",BOM!$R383="Cancelled"),"",IF(BOM!A383="","",BOM!A383))</f>
        <v/>
      </c>
      <c r="B377" s="5" t="str">
        <f aca="false">IF(OR(BOM!$D383="",BOM!$R383="Cancelled"),"",IF(BOM!B383="","",BOM!B383))</f>
        <v/>
      </c>
      <c r="C377" s="5" t="str">
        <f aca="false">IF(OR(BOM!$D383="",BOM!$R383="Cancelled"),"",IF(BOM!C383="","",BOM!C383))</f>
        <v/>
      </c>
      <c r="D377" s="5" t="str">
        <f aca="false">IF(OR(BOM!$D383="",BOM!$R383="Cancelled"),"",IF(BOM!D383="","",BOM!D383))</f>
        <v/>
      </c>
      <c r="E377" s="5" t="str">
        <f aca="false">IF(OR(BOM!$D383="",BOM!$R383="Cancelled"),"",IF(BOM!E383="","",BOM!E383))</f>
        <v/>
      </c>
      <c r="F377" s="5" t="str">
        <f aca="false">IF(OR(BOM!$D383="",BOM!$R383="Cancelled"),"",IF(BOM!F383="","",BOM!F383))</f>
        <v/>
      </c>
      <c r="G377" s="5" t="str">
        <f aca="false">IF(OR(BOM!$D383="",BOM!$R383="Cancelled"),"",IF(BOM!J383="","",BOM!J383))</f>
        <v/>
      </c>
      <c r="H377" s="5" t="str">
        <f aca="false">IF(OR(BOM!$D383="",BOM!$R383="Cancelled"),"",IF(BOM!K383="","",BOM!K383))</f>
        <v/>
      </c>
      <c r="I377" s="5" t="str">
        <f aca="false">IF(OR(BOM!$D383="",BOM!$R383="Cancelled"),"",IF(BOM!M383="","",BOM!M383))</f>
        <v/>
      </c>
      <c r="J377" s="5" t="str">
        <f aca="false">IF(OR(BOM!$D383="",BOM!$R383="Cancelled"),"",IF(OR(BOM!R383="Received",BOM!R383="NSW Purchased"),"Received",IF(BOM!R383="Purchased – Not Received","Ordered",IF(BOM!R383="Finalized – Not Purchased","Design Released","In Design"))))</f>
        <v/>
      </c>
      <c r="K377" s="52" t="str">
        <f aca="false">IF(OR(BOM!$D383="",BOM!$R383="Cancelled"),"",IF(BOM!W383="","",BOM!W383))</f>
        <v/>
      </c>
    </row>
    <row r="378" customFormat="false" ht="15" hidden="false" customHeight="false" outlineLevel="0" collapsed="false">
      <c r="A378" s="5" t="str">
        <f aca="false">IF(OR(BOM!$D384="",BOM!$R384="Cancelled"),"",IF(BOM!A384="","",BOM!A384))</f>
        <v/>
      </c>
      <c r="B378" s="5" t="str">
        <f aca="false">IF(OR(BOM!$D384="",BOM!$R384="Cancelled"),"",IF(BOM!B384="","",BOM!B384))</f>
        <v/>
      </c>
      <c r="C378" s="5" t="str">
        <f aca="false">IF(OR(BOM!$D384="",BOM!$R384="Cancelled"),"",IF(BOM!C384="","",BOM!C384))</f>
        <v/>
      </c>
      <c r="D378" s="5" t="str">
        <f aca="false">IF(OR(BOM!$D384="",BOM!$R384="Cancelled"),"",IF(BOM!D384="","",BOM!D384))</f>
        <v/>
      </c>
      <c r="E378" s="5" t="str">
        <f aca="false">IF(OR(BOM!$D384="",BOM!$R384="Cancelled"),"",IF(BOM!E384="","",BOM!E384))</f>
        <v/>
      </c>
      <c r="F378" s="5" t="str">
        <f aca="false">IF(OR(BOM!$D384="",BOM!$R384="Cancelled"),"",IF(BOM!F384="","",BOM!F384))</f>
        <v/>
      </c>
      <c r="G378" s="5" t="str">
        <f aca="false">IF(OR(BOM!$D384="",BOM!$R384="Cancelled"),"",IF(BOM!J384="","",BOM!J384))</f>
        <v/>
      </c>
      <c r="H378" s="5" t="str">
        <f aca="false">IF(OR(BOM!$D384="",BOM!$R384="Cancelled"),"",IF(BOM!K384="","",BOM!K384))</f>
        <v/>
      </c>
      <c r="I378" s="5" t="str">
        <f aca="false">IF(OR(BOM!$D384="",BOM!$R384="Cancelled"),"",IF(BOM!M384="","",BOM!M384))</f>
        <v/>
      </c>
      <c r="J378" s="5" t="str">
        <f aca="false">IF(OR(BOM!$D384="",BOM!$R384="Cancelled"),"",IF(OR(BOM!R384="Received",BOM!R384="NSW Purchased"),"Received",IF(BOM!R384="Purchased – Not Received","Ordered",IF(BOM!R384="Finalized – Not Purchased","Design Released","In Design"))))</f>
        <v/>
      </c>
      <c r="K378" s="52" t="str">
        <f aca="false">IF(OR(BOM!$D384="",BOM!$R384="Cancelled"),"",IF(BOM!W384="","",BOM!W384))</f>
        <v/>
      </c>
    </row>
    <row r="379" customFormat="false" ht="15" hidden="false" customHeight="false" outlineLevel="0" collapsed="false">
      <c r="A379" s="5" t="str">
        <f aca="false">IF(OR(BOM!$D385="",BOM!$R385="Cancelled"),"",IF(BOM!A385="","",BOM!A385))</f>
        <v/>
      </c>
      <c r="B379" s="5" t="str">
        <f aca="false">IF(OR(BOM!$D385="",BOM!$R385="Cancelled"),"",IF(BOM!B385="","",BOM!B385))</f>
        <v/>
      </c>
      <c r="C379" s="5" t="str">
        <f aca="false">IF(OR(BOM!$D385="",BOM!$R385="Cancelled"),"",IF(BOM!C385="","",BOM!C385))</f>
        <v/>
      </c>
      <c r="D379" s="5" t="str">
        <f aca="false">IF(OR(BOM!$D385="",BOM!$R385="Cancelled"),"",IF(BOM!D385="","",BOM!D385))</f>
        <v/>
      </c>
      <c r="E379" s="5" t="str">
        <f aca="false">IF(OR(BOM!$D385="",BOM!$R385="Cancelled"),"",IF(BOM!E385="","",BOM!E385))</f>
        <v/>
      </c>
      <c r="F379" s="5" t="str">
        <f aca="false">IF(OR(BOM!$D385="",BOM!$R385="Cancelled"),"",IF(BOM!F385="","",BOM!F385))</f>
        <v/>
      </c>
      <c r="G379" s="5" t="str">
        <f aca="false">IF(OR(BOM!$D385="",BOM!$R385="Cancelled"),"",IF(BOM!J385="","",BOM!J385))</f>
        <v/>
      </c>
      <c r="H379" s="5" t="str">
        <f aca="false">IF(OR(BOM!$D385="",BOM!$R385="Cancelled"),"",IF(BOM!K385="","",BOM!K385))</f>
        <v/>
      </c>
      <c r="I379" s="5" t="str">
        <f aca="false">IF(OR(BOM!$D385="",BOM!$R385="Cancelled"),"",IF(BOM!M385="","",BOM!M385))</f>
        <v/>
      </c>
      <c r="J379" s="5" t="str">
        <f aca="false">IF(OR(BOM!$D385="",BOM!$R385="Cancelled"),"",IF(OR(BOM!R385="Received",BOM!R385="NSW Purchased"),"Received",IF(BOM!R385="Purchased – Not Received","Ordered",IF(BOM!R385="Finalized – Not Purchased","Design Released","In Design"))))</f>
        <v/>
      </c>
      <c r="K379" s="52" t="str">
        <f aca="false">IF(OR(BOM!$D385="",BOM!$R385="Cancelled"),"",IF(BOM!W385="","",BOM!W385))</f>
        <v/>
      </c>
    </row>
    <row r="380" customFormat="false" ht="15" hidden="false" customHeight="false" outlineLevel="0" collapsed="false">
      <c r="A380" s="5" t="str">
        <f aca="false">IF(OR(BOM!$D386="",BOM!$R386="Cancelled"),"",IF(BOM!A386="","",BOM!A386))</f>
        <v/>
      </c>
      <c r="B380" s="5" t="str">
        <f aca="false">IF(OR(BOM!$D386="",BOM!$R386="Cancelled"),"",IF(BOM!B386="","",BOM!B386))</f>
        <v/>
      </c>
      <c r="C380" s="5" t="str">
        <f aca="false">IF(OR(BOM!$D386="",BOM!$R386="Cancelled"),"",IF(BOM!C386="","",BOM!C386))</f>
        <v/>
      </c>
      <c r="D380" s="5" t="str">
        <f aca="false">IF(OR(BOM!$D386="",BOM!$R386="Cancelled"),"",IF(BOM!D386="","",BOM!D386))</f>
        <v/>
      </c>
      <c r="E380" s="5" t="str">
        <f aca="false">IF(OR(BOM!$D386="",BOM!$R386="Cancelled"),"",IF(BOM!E386="","",BOM!E386))</f>
        <v/>
      </c>
      <c r="F380" s="5" t="str">
        <f aca="false">IF(OR(BOM!$D386="",BOM!$R386="Cancelled"),"",IF(BOM!F386="","",BOM!F386))</f>
        <v/>
      </c>
      <c r="G380" s="5" t="str">
        <f aca="false">IF(OR(BOM!$D386="",BOM!$R386="Cancelled"),"",IF(BOM!J386="","",BOM!J386))</f>
        <v/>
      </c>
      <c r="H380" s="5" t="str">
        <f aca="false">IF(OR(BOM!$D386="",BOM!$R386="Cancelled"),"",IF(BOM!K386="","",BOM!K386))</f>
        <v/>
      </c>
      <c r="I380" s="5" t="str">
        <f aca="false">IF(OR(BOM!$D386="",BOM!$R386="Cancelled"),"",IF(BOM!M386="","",BOM!M386))</f>
        <v/>
      </c>
      <c r="J380" s="5" t="str">
        <f aca="false">IF(OR(BOM!$D386="",BOM!$R386="Cancelled"),"",IF(OR(BOM!R386="Received",BOM!R386="NSW Purchased"),"Received",IF(BOM!R386="Purchased – Not Received","Ordered",IF(BOM!R386="Finalized – Not Purchased","Design Released","In Design"))))</f>
        <v/>
      </c>
      <c r="K380" s="52" t="str">
        <f aca="false">IF(OR(BOM!$D386="",BOM!$R386="Cancelled"),"",IF(BOM!W386="","",BOM!W386))</f>
        <v/>
      </c>
    </row>
    <row r="381" customFormat="false" ht="15" hidden="false" customHeight="false" outlineLevel="0" collapsed="false">
      <c r="A381" s="5" t="str">
        <f aca="false">IF(OR(BOM!$D387="",BOM!$R387="Cancelled"),"",IF(BOM!A387="","",BOM!A387))</f>
        <v/>
      </c>
      <c r="B381" s="5" t="str">
        <f aca="false">IF(OR(BOM!$D387="",BOM!$R387="Cancelled"),"",IF(BOM!B387="","",BOM!B387))</f>
        <v/>
      </c>
      <c r="C381" s="5" t="str">
        <f aca="false">IF(OR(BOM!$D387="",BOM!$R387="Cancelled"),"",IF(BOM!C387="","",BOM!C387))</f>
        <v/>
      </c>
      <c r="D381" s="5" t="str">
        <f aca="false">IF(OR(BOM!$D387="",BOM!$R387="Cancelled"),"",IF(BOM!D387="","",BOM!D387))</f>
        <v/>
      </c>
      <c r="E381" s="5" t="str">
        <f aca="false">IF(OR(BOM!$D387="",BOM!$R387="Cancelled"),"",IF(BOM!E387="","",BOM!E387))</f>
        <v/>
      </c>
      <c r="F381" s="5" t="str">
        <f aca="false">IF(OR(BOM!$D387="",BOM!$R387="Cancelled"),"",IF(BOM!F387="","",BOM!F387))</f>
        <v/>
      </c>
      <c r="G381" s="5" t="str">
        <f aca="false">IF(OR(BOM!$D387="",BOM!$R387="Cancelled"),"",IF(BOM!J387="","",BOM!J387))</f>
        <v/>
      </c>
      <c r="H381" s="5" t="str">
        <f aca="false">IF(OR(BOM!$D387="",BOM!$R387="Cancelled"),"",IF(BOM!K387="","",BOM!K387))</f>
        <v/>
      </c>
      <c r="I381" s="5" t="str">
        <f aca="false">IF(OR(BOM!$D387="",BOM!$R387="Cancelled"),"",IF(BOM!M387="","",BOM!M387))</f>
        <v/>
      </c>
      <c r="J381" s="5" t="str">
        <f aca="false">IF(OR(BOM!$D387="",BOM!$R387="Cancelled"),"",IF(OR(BOM!R387="Received",BOM!R387="NSW Purchased"),"Received",IF(BOM!R387="Purchased – Not Received","Ordered",IF(BOM!R387="Finalized – Not Purchased","Design Released","In Design"))))</f>
        <v/>
      </c>
      <c r="K381" s="52" t="str">
        <f aca="false">IF(OR(BOM!$D387="",BOM!$R387="Cancelled"),"",IF(BOM!W387="","",BOM!W387))</f>
        <v/>
      </c>
    </row>
    <row r="382" customFormat="false" ht="15" hidden="false" customHeight="false" outlineLevel="0" collapsed="false">
      <c r="A382" s="5" t="str">
        <f aca="false">IF(OR(BOM!$D388="",BOM!$R388="Cancelled"),"",IF(BOM!A388="","",BOM!A388))</f>
        <v/>
      </c>
      <c r="B382" s="5" t="str">
        <f aca="false">IF(OR(BOM!$D388="",BOM!$R388="Cancelled"),"",IF(BOM!B388="","",BOM!B388))</f>
        <v/>
      </c>
      <c r="C382" s="5" t="str">
        <f aca="false">IF(OR(BOM!$D388="",BOM!$R388="Cancelled"),"",IF(BOM!C388="","",BOM!C388))</f>
        <v/>
      </c>
      <c r="D382" s="5" t="str">
        <f aca="false">IF(OR(BOM!$D388="",BOM!$R388="Cancelled"),"",IF(BOM!D388="","",BOM!D388))</f>
        <v/>
      </c>
      <c r="E382" s="5" t="str">
        <f aca="false">IF(OR(BOM!$D388="",BOM!$R388="Cancelled"),"",IF(BOM!E388="","",BOM!E388))</f>
        <v/>
      </c>
      <c r="F382" s="5" t="str">
        <f aca="false">IF(OR(BOM!$D388="",BOM!$R388="Cancelled"),"",IF(BOM!F388="","",BOM!F388))</f>
        <v/>
      </c>
      <c r="G382" s="5" t="str">
        <f aca="false">IF(OR(BOM!$D388="",BOM!$R388="Cancelled"),"",IF(BOM!J388="","",BOM!J388))</f>
        <v/>
      </c>
      <c r="H382" s="5" t="str">
        <f aca="false">IF(OR(BOM!$D388="",BOM!$R388="Cancelled"),"",IF(BOM!K388="","",BOM!K388))</f>
        <v/>
      </c>
      <c r="I382" s="5" t="str">
        <f aca="false">IF(OR(BOM!$D388="",BOM!$R388="Cancelled"),"",IF(BOM!M388="","",BOM!M388))</f>
        <v/>
      </c>
      <c r="J382" s="5" t="str">
        <f aca="false">IF(OR(BOM!$D388="",BOM!$R388="Cancelled"),"",IF(OR(BOM!R388="Received",BOM!R388="NSW Purchased"),"Received",IF(BOM!R388="Purchased – Not Received","Ordered",IF(BOM!R388="Finalized – Not Purchased","Design Released","In Design"))))</f>
        <v/>
      </c>
      <c r="K382" s="52" t="str">
        <f aca="false">IF(OR(BOM!$D388="",BOM!$R388="Cancelled"),"",IF(BOM!W388="","",BOM!W388))</f>
        <v/>
      </c>
    </row>
    <row r="383" customFormat="false" ht="15" hidden="false" customHeight="false" outlineLevel="0" collapsed="false">
      <c r="A383" s="5" t="str">
        <f aca="false">IF(OR(BOM!$D389="",BOM!$R389="Cancelled"),"",IF(BOM!A389="","",BOM!A389))</f>
        <v/>
      </c>
      <c r="B383" s="5" t="str">
        <f aca="false">IF(OR(BOM!$D389="",BOM!$R389="Cancelled"),"",IF(BOM!B389="","",BOM!B389))</f>
        <v/>
      </c>
      <c r="C383" s="5" t="str">
        <f aca="false">IF(OR(BOM!$D389="",BOM!$R389="Cancelled"),"",IF(BOM!C389="","",BOM!C389))</f>
        <v/>
      </c>
      <c r="D383" s="5" t="str">
        <f aca="false">IF(OR(BOM!$D389="",BOM!$R389="Cancelled"),"",IF(BOM!D389="","",BOM!D389))</f>
        <v/>
      </c>
      <c r="E383" s="5" t="str">
        <f aca="false">IF(OR(BOM!$D389="",BOM!$R389="Cancelled"),"",IF(BOM!E389="","",BOM!E389))</f>
        <v/>
      </c>
      <c r="F383" s="5" t="str">
        <f aca="false">IF(OR(BOM!$D389="",BOM!$R389="Cancelled"),"",IF(BOM!F389="","",BOM!F389))</f>
        <v/>
      </c>
      <c r="G383" s="5" t="str">
        <f aca="false">IF(OR(BOM!$D389="",BOM!$R389="Cancelled"),"",IF(BOM!J389="","",BOM!J389))</f>
        <v/>
      </c>
      <c r="H383" s="5" t="str">
        <f aca="false">IF(OR(BOM!$D389="",BOM!$R389="Cancelled"),"",IF(BOM!K389="","",BOM!K389))</f>
        <v/>
      </c>
      <c r="I383" s="5" t="str">
        <f aca="false">IF(OR(BOM!$D389="",BOM!$R389="Cancelled"),"",IF(BOM!M389="","",BOM!M389))</f>
        <v/>
      </c>
      <c r="J383" s="5" t="str">
        <f aca="false">IF(OR(BOM!$D389="",BOM!$R389="Cancelled"),"",IF(OR(BOM!R389="Received",BOM!R389="NSW Purchased"),"Received",IF(BOM!R389="Purchased – Not Received","Ordered",IF(BOM!R389="Finalized – Not Purchased","Design Released","In Design"))))</f>
        <v/>
      </c>
      <c r="K383" s="52" t="str">
        <f aca="false">IF(OR(BOM!$D389="",BOM!$R389="Cancelled"),"",IF(BOM!W389="","",BOM!W389))</f>
        <v/>
      </c>
    </row>
    <row r="384" customFormat="false" ht="15" hidden="false" customHeight="false" outlineLevel="0" collapsed="false">
      <c r="A384" s="5" t="str">
        <f aca="false">IF(OR(BOM!$D390="",BOM!$R390="Cancelled"),"",IF(BOM!A390="","",BOM!A390))</f>
        <v/>
      </c>
      <c r="B384" s="5" t="str">
        <f aca="false">IF(OR(BOM!$D390="",BOM!$R390="Cancelled"),"",IF(BOM!B390="","",BOM!B390))</f>
        <v/>
      </c>
      <c r="C384" s="5" t="str">
        <f aca="false">IF(OR(BOM!$D390="",BOM!$R390="Cancelled"),"",IF(BOM!C390="","",BOM!C390))</f>
        <v/>
      </c>
      <c r="D384" s="5" t="str">
        <f aca="false">IF(OR(BOM!$D390="",BOM!$R390="Cancelled"),"",IF(BOM!D390="","",BOM!D390))</f>
        <v/>
      </c>
      <c r="E384" s="5" t="str">
        <f aca="false">IF(OR(BOM!$D390="",BOM!$R390="Cancelled"),"",IF(BOM!E390="","",BOM!E390))</f>
        <v/>
      </c>
      <c r="F384" s="5" t="str">
        <f aca="false">IF(OR(BOM!$D390="",BOM!$R390="Cancelled"),"",IF(BOM!F390="","",BOM!F390))</f>
        <v/>
      </c>
      <c r="G384" s="5" t="str">
        <f aca="false">IF(OR(BOM!$D390="",BOM!$R390="Cancelled"),"",IF(BOM!J390="","",BOM!J390))</f>
        <v/>
      </c>
      <c r="H384" s="5" t="str">
        <f aca="false">IF(OR(BOM!$D390="",BOM!$R390="Cancelled"),"",IF(BOM!K390="","",BOM!K390))</f>
        <v/>
      </c>
      <c r="I384" s="5" t="str">
        <f aca="false">IF(OR(BOM!$D390="",BOM!$R390="Cancelled"),"",IF(BOM!M390="","",BOM!M390))</f>
        <v/>
      </c>
      <c r="J384" s="5" t="str">
        <f aca="false">IF(OR(BOM!$D390="",BOM!$R390="Cancelled"),"",IF(OR(BOM!R390="Received",BOM!R390="NSW Purchased"),"Received",IF(BOM!R390="Purchased – Not Received","Ordered",IF(BOM!R390="Finalized – Not Purchased","Design Released","In Design"))))</f>
        <v/>
      </c>
      <c r="K384" s="52" t="str">
        <f aca="false">IF(OR(BOM!$D390="",BOM!$R390="Cancelled"),"",IF(BOM!W390="","",BOM!W390))</f>
        <v/>
      </c>
    </row>
    <row r="385" customFormat="false" ht="15" hidden="false" customHeight="false" outlineLevel="0" collapsed="false">
      <c r="A385" s="5" t="str">
        <f aca="false">IF(OR(BOM!$D391="",BOM!$R391="Cancelled"),"",IF(BOM!A391="","",BOM!A391))</f>
        <v/>
      </c>
      <c r="B385" s="5" t="str">
        <f aca="false">IF(OR(BOM!$D391="",BOM!$R391="Cancelled"),"",IF(BOM!B391="","",BOM!B391))</f>
        <v/>
      </c>
      <c r="C385" s="5" t="str">
        <f aca="false">IF(OR(BOM!$D391="",BOM!$R391="Cancelled"),"",IF(BOM!C391="","",BOM!C391))</f>
        <v/>
      </c>
      <c r="D385" s="5" t="str">
        <f aca="false">IF(OR(BOM!$D391="",BOM!$R391="Cancelled"),"",IF(BOM!D391="","",BOM!D391))</f>
        <v/>
      </c>
      <c r="E385" s="5" t="str">
        <f aca="false">IF(OR(BOM!$D391="",BOM!$R391="Cancelled"),"",IF(BOM!E391="","",BOM!E391))</f>
        <v/>
      </c>
      <c r="F385" s="5" t="str">
        <f aca="false">IF(OR(BOM!$D391="",BOM!$R391="Cancelled"),"",IF(BOM!F391="","",BOM!F391))</f>
        <v/>
      </c>
      <c r="G385" s="5" t="str">
        <f aca="false">IF(OR(BOM!$D391="",BOM!$R391="Cancelled"),"",IF(BOM!J391="","",BOM!J391))</f>
        <v/>
      </c>
      <c r="H385" s="5" t="str">
        <f aca="false">IF(OR(BOM!$D391="",BOM!$R391="Cancelled"),"",IF(BOM!K391="","",BOM!K391))</f>
        <v/>
      </c>
      <c r="I385" s="5" t="str">
        <f aca="false">IF(OR(BOM!$D391="",BOM!$R391="Cancelled"),"",IF(BOM!M391="","",BOM!M391))</f>
        <v/>
      </c>
      <c r="J385" s="5" t="str">
        <f aca="false">IF(OR(BOM!$D391="",BOM!$R391="Cancelled"),"",IF(OR(BOM!R391="Received",BOM!R391="NSW Purchased"),"Received",IF(BOM!R391="Purchased – Not Received","Ordered",IF(BOM!R391="Finalized – Not Purchased","Design Released","In Design"))))</f>
        <v/>
      </c>
      <c r="K385" s="52" t="str">
        <f aca="false">IF(OR(BOM!$D391="",BOM!$R391="Cancelled"),"",IF(BOM!W391="","",BOM!W391))</f>
        <v/>
      </c>
    </row>
    <row r="386" customFormat="false" ht="15" hidden="false" customHeight="false" outlineLevel="0" collapsed="false">
      <c r="A386" s="5" t="str">
        <f aca="false">IF(OR(BOM!$D392="",BOM!$R392="Cancelled"),"",IF(BOM!A392="","",BOM!A392))</f>
        <v/>
      </c>
      <c r="B386" s="5" t="str">
        <f aca="false">IF(OR(BOM!$D392="",BOM!$R392="Cancelled"),"",IF(BOM!B392="","",BOM!B392))</f>
        <v/>
      </c>
      <c r="C386" s="5" t="str">
        <f aca="false">IF(OR(BOM!$D392="",BOM!$R392="Cancelled"),"",IF(BOM!C392="","",BOM!C392))</f>
        <v/>
      </c>
      <c r="D386" s="5" t="str">
        <f aca="false">IF(OR(BOM!$D392="",BOM!$R392="Cancelled"),"",IF(BOM!D392="","",BOM!D392))</f>
        <v/>
      </c>
      <c r="E386" s="5" t="str">
        <f aca="false">IF(OR(BOM!$D392="",BOM!$R392="Cancelled"),"",IF(BOM!E392="","",BOM!E392))</f>
        <v/>
      </c>
      <c r="F386" s="5" t="str">
        <f aca="false">IF(OR(BOM!$D392="",BOM!$R392="Cancelled"),"",IF(BOM!F392="","",BOM!F392))</f>
        <v/>
      </c>
      <c r="G386" s="5" t="str">
        <f aca="false">IF(OR(BOM!$D392="",BOM!$R392="Cancelled"),"",IF(BOM!J392="","",BOM!J392))</f>
        <v/>
      </c>
      <c r="H386" s="5" t="str">
        <f aca="false">IF(OR(BOM!$D392="",BOM!$R392="Cancelled"),"",IF(BOM!K392="","",BOM!K392))</f>
        <v/>
      </c>
      <c r="I386" s="5" t="str">
        <f aca="false">IF(OR(BOM!$D392="",BOM!$R392="Cancelled"),"",IF(BOM!M392="","",BOM!M392))</f>
        <v/>
      </c>
      <c r="J386" s="5" t="str">
        <f aca="false">IF(OR(BOM!$D392="",BOM!$R392="Cancelled"),"",IF(OR(BOM!R392="Received",BOM!R392="NSW Purchased"),"Received",IF(BOM!R392="Purchased – Not Received","Ordered",IF(BOM!R392="Finalized – Not Purchased","Design Released","In Design"))))</f>
        <v/>
      </c>
      <c r="K386" s="52" t="str">
        <f aca="false">IF(OR(BOM!$D392="",BOM!$R392="Cancelled"),"",IF(BOM!W392="","",BOM!W392))</f>
        <v/>
      </c>
    </row>
    <row r="387" customFormat="false" ht="15" hidden="false" customHeight="false" outlineLevel="0" collapsed="false">
      <c r="A387" s="5" t="str">
        <f aca="false">IF(OR(BOM!$D393="",BOM!$R393="Cancelled"),"",IF(BOM!A393="","",BOM!A393))</f>
        <v/>
      </c>
      <c r="B387" s="5" t="str">
        <f aca="false">IF(OR(BOM!$D393="",BOM!$R393="Cancelled"),"",IF(BOM!B393="","",BOM!B393))</f>
        <v/>
      </c>
      <c r="C387" s="5" t="str">
        <f aca="false">IF(OR(BOM!$D393="",BOM!$R393="Cancelled"),"",IF(BOM!C393="","",BOM!C393))</f>
        <v/>
      </c>
      <c r="D387" s="5" t="str">
        <f aca="false">IF(OR(BOM!$D393="",BOM!$R393="Cancelled"),"",IF(BOM!D393="","",BOM!D393))</f>
        <v/>
      </c>
      <c r="E387" s="5" t="str">
        <f aca="false">IF(OR(BOM!$D393="",BOM!$R393="Cancelled"),"",IF(BOM!E393="","",BOM!E393))</f>
        <v/>
      </c>
      <c r="F387" s="5" t="str">
        <f aca="false">IF(OR(BOM!$D393="",BOM!$R393="Cancelled"),"",IF(BOM!F393="","",BOM!F393))</f>
        <v/>
      </c>
      <c r="G387" s="5" t="str">
        <f aca="false">IF(OR(BOM!$D393="",BOM!$R393="Cancelled"),"",IF(BOM!J393="","",BOM!J393))</f>
        <v/>
      </c>
      <c r="H387" s="5" t="str">
        <f aca="false">IF(OR(BOM!$D393="",BOM!$R393="Cancelled"),"",IF(BOM!K393="","",BOM!K393))</f>
        <v/>
      </c>
      <c r="I387" s="5" t="str">
        <f aca="false">IF(OR(BOM!$D393="",BOM!$R393="Cancelled"),"",IF(BOM!M393="","",BOM!M393))</f>
        <v/>
      </c>
      <c r="J387" s="5" t="str">
        <f aca="false">IF(OR(BOM!$D393="",BOM!$R393="Cancelled"),"",IF(OR(BOM!R393="Received",BOM!R393="NSW Purchased"),"Received",IF(BOM!R393="Purchased – Not Received","Ordered",IF(BOM!R393="Finalized – Not Purchased","Design Released","In Design"))))</f>
        <v/>
      </c>
      <c r="K387" s="52" t="str">
        <f aca="false">IF(OR(BOM!$D393="",BOM!$R393="Cancelled"),"",IF(BOM!W393="","",BOM!W393))</f>
        <v/>
      </c>
    </row>
    <row r="388" customFormat="false" ht="15" hidden="false" customHeight="false" outlineLevel="0" collapsed="false">
      <c r="A388" s="5" t="str">
        <f aca="false">IF(OR(BOM!$D394="",BOM!$R394="Cancelled"),"",IF(BOM!A394="","",BOM!A394))</f>
        <v/>
      </c>
      <c r="B388" s="5" t="str">
        <f aca="false">IF(OR(BOM!$D394="",BOM!$R394="Cancelled"),"",IF(BOM!B394="","",BOM!B394))</f>
        <v/>
      </c>
      <c r="C388" s="5" t="str">
        <f aca="false">IF(OR(BOM!$D394="",BOM!$R394="Cancelled"),"",IF(BOM!C394="","",BOM!C394))</f>
        <v/>
      </c>
      <c r="D388" s="5" t="str">
        <f aca="false">IF(OR(BOM!$D394="",BOM!$R394="Cancelled"),"",IF(BOM!D394="","",BOM!D394))</f>
        <v/>
      </c>
      <c r="E388" s="5" t="str">
        <f aca="false">IF(OR(BOM!$D394="",BOM!$R394="Cancelled"),"",IF(BOM!E394="","",BOM!E394))</f>
        <v/>
      </c>
      <c r="F388" s="5" t="str">
        <f aca="false">IF(OR(BOM!$D394="",BOM!$R394="Cancelled"),"",IF(BOM!F394="","",BOM!F394))</f>
        <v/>
      </c>
      <c r="G388" s="5" t="str">
        <f aca="false">IF(OR(BOM!$D394="",BOM!$R394="Cancelled"),"",IF(BOM!J394="","",BOM!J394))</f>
        <v/>
      </c>
      <c r="H388" s="5" t="str">
        <f aca="false">IF(OR(BOM!$D394="",BOM!$R394="Cancelled"),"",IF(BOM!K394="","",BOM!K394))</f>
        <v/>
      </c>
      <c r="I388" s="5" t="str">
        <f aca="false">IF(OR(BOM!$D394="",BOM!$R394="Cancelled"),"",IF(BOM!M394="","",BOM!M394))</f>
        <v/>
      </c>
      <c r="J388" s="5" t="str">
        <f aca="false">IF(OR(BOM!$D394="",BOM!$R394="Cancelled"),"",IF(OR(BOM!R394="Received",BOM!R394="NSW Purchased"),"Received",IF(BOM!R394="Purchased – Not Received","Ordered",IF(BOM!R394="Finalized – Not Purchased","Design Released","In Design"))))</f>
        <v/>
      </c>
      <c r="K388" s="52" t="str">
        <f aca="false">IF(OR(BOM!$D394="",BOM!$R394="Cancelled"),"",IF(BOM!W394="","",BOM!W394))</f>
        <v/>
      </c>
    </row>
    <row r="389" customFormat="false" ht="15" hidden="false" customHeight="false" outlineLevel="0" collapsed="false">
      <c r="A389" s="5" t="str">
        <f aca="false">IF(OR(BOM!$D395="",BOM!$R395="Cancelled"),"",IF(BOM!A395="","",BOM!A395))</f>
        <v/>
      </c>
      <c r="B389" s="5" t="str">
        <f aca="false">IF(OR(BOM!$D395="",BOM!$R395="Cancelled"),"",IF(BOM!B395="","",BOM!B395))</f>
        <v/>
      </c>
      <c r="C389" s="5" t="str">
        <f aca="false">IF(OR(BOM!$D395="",BOM!$R395="Cancelled"),"",IF(BOM!C395="","",BOM!C395))</f>
        <v/>
      </c>
      <c r="D389" s="5" t="str">
        <f aca="false">IF(OR(BOM!$D395="",BOM!$R395="Cancelled"),"",IF(BOM!D395="","",BOM!D395))</f>
        <v/>
      </c>
      <c r="E389" s="5" t="str">
        <f aca="false">IF(OR(BOM!$D395="",BOM!$R395="Cancelled"),"",IF(BOM!E395="","",BOM!E395))</f>
        <v/>
      </c>
      <c r="F389" s="5" t="str">
        <f aca="false">IF(OR(BOM!$D395="",BOM!$R395="Cancelled"),"",IF(BOM!F395="","",BOM!F395))</f>
        <v/>
      </c>
      <c r="G389" s="5" t="str">
        <f aca="false">IF(OR(BOM!$D395="",BOM!$R395="Cancelled"),"",IF(BOM!J395="","",BOM!J395))</f>
        <v/>
      </c>
      <c r="H389" s="5" t="str">
        <f aca="false">IF(OR(BOM!$D395="",BOM!$R395="Cancelled"),"",IF(BOM!K395="","",BOM!K395))</f>
        <v/>
      </c>
      <c r="I389" s="5" t="str">
        <f aca="false">IF(OR(BOM!$D395="",BOM!$R395="Cancelled"),"",IF(BOM!M395="","",BOM!M395))</f>
        <v/>
      </c>
      <c r="J389" s="5" t="str">
        <f aca="false">IF(OR(BOM!$D395="",BOM!$R395="Cancelled"),"",IF(OR(BOM!R395="Received",BOM!R395="NSW Purchased"),"Received",IF(BOM!R395="Purchased – Not Received","Ordered",IF(BOM!R395="Finalized – Not Purchased","Design Released","In Design"))))</f>
        <v/>
      </c>
      <c r="K389" s="52" t="str">
        <f aca="false">IF(OR(BOM!$D395="",BOM!$R395="Cancelled"),"",IF(BOM!W395="","",BOM!W395))</f>
        <v/>
      </c>
    </row>
    <row r="390" customFormat="false" ht="15" hidden="false" customHeight="false" outlineLevel="0" collapsed="false">
      <c r="A390" s="5" t="str">
        <f aca="false">IF(OR(BOM!$D396="",BOM!$R396="Cancelled"),"",IF(BOM!A396="","",BOM!A396))</f>
        <v/>
      </c>
      <c r="B390" s="5" t="str">
        <f aca="false">IF(OR(BOM!$D396="",BOM!$R396="Cancelled"),"",IF(BOM!B396="","",BOM!B396))</f>
        <v/>
      </c>
      <c r="C390" s="5" t="str">
        <f aca="false">IF(OR(BOM!$D396="",BOM!$R396="Cancelled"),"",IF(BOM!C396="","",BOM!C396))</f>
        <v/>
      </c>
      <c r="D390" s="5" t="str">
        <f aca="false">IF(OR(BOM!$D396="",BOM!$R396="Cancelled"),"",IF(BOM!D396="","",BOM!D396))</f>
        <v/>
      </c>
      <c r="E390" s="5" t="str">
        <f aca="false">IF(OR(BOM!$D396="",BOM!$R396="Cancelled"),"",IF(BOM!E396="","",BOM!E396))</f>
        <v/>
      </c>
      <c r="F390" s="5" t="str">
        <f aca="false">IF(OR(BOM!$D396="",BOM!$R396="Cancelled"),"",IF(BOM!F396="","",BOM!F396))</f>
        <v/>
      </c>
      <c r="G390" s="5" t="str">
        <f aca="false">IF(OR(BOM!$D396="",BOM!$R396="Cancelled"),"",IF(BOM!J396="","",BOM!J396))</f>
        <v/>
      </c>
      <c r="H390" s="5" t="str">
        <f aca="false">IF(OR(BOM!$D396="",BOM!$R396="Cancelled"),"",IF(BOM!K396="","",BOM!K396))</f>
        <v/>
      </c>
      <c r="I390" s="5" t="str">
        <f aca="false">IF(OR(BOM!$D396="",BOM!$R396="Cancelled"),"",IF(BOM!M396="","",BOM!M396))</f>
        <v/>
      </c>
      <c r="J390" s="5" t="str">
        <f aca="false">IF(OR(BOM!$D396="",BOM!$R396="Cancelled"),"",IF(OR(BOM!R396="Received",BOM!R396="NSW Purchased"),"Received",IF(BOM!R396="Purchased – Not Received","Ordered",IF(BOM!R396="Finalized – Not Purchased","Design Released","In Design"))))</f>
        <v/>
      </c>
      <c r="K390" s="52" t="str">
        <f aca="false">IF(OR(BOM!$D396="",BOM!$R396="Cancelled"),"",IF(BOM!W396="","",BOM!W396))</f>
        <v/>
      </c>
    </row>
    <row r="391" customFormat="false" ht="15" hidden="false" customHeight="false" outlineLevel="0" collapsed="false">
      <c r="A391" s="5" t="str">
        <f aca="false">IF(OR(BOM!$D397="",BOM!$R397="Cancelled"),"",IF(BOM!A397="","",BOM!A397))</f>
        <v/>
      </c>
      <c r="B391" s="5" t="str">
        <f aca="false">IF(OR(BOM!$D397="",BOM!$R397="Cancelled"),"",IF(BOM!B397="","",BOM!B397))</f>
        <v/>
      </c>
      <c r="C391" s="5" t="str">
        <f aca="false">IF(OR(BOM!$D397="",BOM!$R397="Cancelled"),"",IF(BOM!C397="","",BOM!C397))</f>
        <v/>
      </c>
      <c r="D391" s="5" t="str">
        <f aca="false">IF(OR(BOM!$D397="",BOM!$R397="Cancelled"),"",IF(BOM!D397="","",BOM!D397))</f>
        <v/>
      </c>
      <c r="E391" s="5" t="str">
        <f aca="false">IF(OR(BOM!$D397="",BOM!$R397="Cancelled"),"",IF(BOM!E397="","",BOM!E397))</f>
        <v/>
      </c>
      <c r="F391" s="5" t="str">
        <f aca="false">IF(OR(BOM!$D397="",BOM!$R397="Cancelled"),"",IF(BOM!F397="","",BOM!F397))</f>
        <v/>
      </c>
      <c r="G391" s="5" t="str">
        <f aca="false">IF(OR(BOM!$D397="",BOM!$R397="Cancelled"),"",IF(BOM!J397="","",BOM!J397))</f>
        <v/>
      </c>
      <c r="H391" s="5" t="str">
        <f aca="false">IF(OR(BOM!$D397="",BOM!$R397="Cancelled"),"",IF(BOM!K397="","",BOM!K397))</f>
        <v/>
      </c>
      <c r="I391" s="5" t="str">
        <f aca="false">IF(OR(BOM!$D397="",BOM!$R397="Cancelled"),"",IF(BOM!M397="","",BOM!M397))</f>
        <v/>
      </c>
      <c r="J391" s="5" t="str">
        <f aca="false">IF(OR(BOM!$D397="",BOM!$R397="Cancelled"),"",IF(OR(BOM!R397="Received",BOM!R397="NSW Purchased"),"Received",IF(BOM!R397="Purchased – Not Received","Ordered",IF(BOM!R397="Finalized – Not Purchased","Design Released","In Design"))))</f>
        <v/>
      </c>
      <c r="K391" s="52" t="str">
        <f aca="false">IF(OR(BOM!$D397="",BOM!$R397="Cancelled"),"",IF(BOM!W397="","",BOM!W397))</f>
        <v/>
      </c>
    </row>
    <row r="392" customFormat="false" ht="15" hidden="false" customHeight="false" outlineLevel="0" collapsed="false">
      <c r="A392" s="5" t="str">
        <f aca="false">IF(OR(BOM!$D398="",BOM!$R398="Cancelled"),"",IF(BOM!A398="","",BOM!A398))</f>
        <v/>
      </c>
      <c r="B392" s="5" t="str">
        <f aca="false">IF(OR(BOM!$D398="",BOM!$R398="Cancelled"),"",IF(BOM!B398="","",BOM!B398))</f>
        <v/>
      </c>
      <c r="C392" s="5" t="str">
        <f aca="false">IF(OR(BOM!$D398="",BOM!$R398="Cancelled"),"",IF(BOM!C398="","",BOM!C398))</f>
        <v/>
      </c>
      <c r="D392" s="5" t="str">
        <f aca="false">IF(OR(BOM!$D398="",BOM!$R398="Cancelled"),"",IF(BOM!D398="","",BOM!D398))</f>
        <v/>
      </c>
      <c r="E392" s="5" t="str">
        <f aca="false">IF(OR(BOM!$D398="",BOM!$R398="Cancelled"),"",IF(BOM!E398="","",BOM!E398))</f>
        <v/>
      </c>
      <c r="F392" s="5" t="str">
        <f aca="false">IF(OR(BOM!$D398="",BOM!$R398="Cancelled"),"",IF(BOM!F398="","",BOM!F398))</f>
        <v/>
      </c>
      <c r="G392" s="5" t="str">
        <f aca="false">IF(OR(BOM!$D398="",BOM!$R398="Cancelled"),"",IF(BOM!J398="","",BOM!J398))</f>
        <v/>
      </c>
      <c r="H392" s="5" t="str">
        <f aca="false">IF(OR(BOM!$D398="",BOM!$R398="Cancelled"),"",IF(BOM!K398="","",BOM!K398))</f>
        <v/>
      </c>
      <c r="I392" s="5" t="str">
        <f aca="false">IF(OR(BOM!$D398="",BOM!$R398="Cancelled"),"",IF(BOM!M398="","",BOM!M398))</f>
        <v/>
      </c>
      <c r="J392" s="5" t="str">
        <f aca="false">IF(OR(BOM!$D398="",BOM!$R398="Cancelled"),"",IF(OR(BOM!R398="Received",BOM!R398="NSW Purchased"),"Received",IF(BOM!R398="Purchased – Not Received","Ordered",IF(BOM!R398="Finalized – Not Purchased","Design Released","In Design"))))</f>
        <v/>
      </c>
      <c r="K392" s="52" t="str">
        <f aca="false">IF(OR(BOM!$D398="",BOM!$R398="Cancelled"),"",IF(BOM!W398="","",BOM!W398))</f>
        <v/>
      </c>
    </row>
    <row r="393" customFormat="false" ht="15" hidden="false" customHeight="false" outlineLevel="0" collapsed="false">
      <c r="A393" s="5" t="str">
        <f aca="false">IF(OR(BOM!$D399="",BOM!$R399="Cancelled"),"",IF(BOM!A399="","",BOM!A399))</f>
        <v/>
      </c>
      <c r="B393" s="5" t="str">
        <f aca="false">IF(OR(BOM!$D399="",BOM!$R399="Cancelled"),"",IF(BOM!B399="","",BOM!B399))</f>
        <v/>
      </c>
      <c r="C393" s="5" t="str">
        <f aca="false">IF(OR(BOM!$D399="",BOM!$R399="Cancelled"),"",IF(BOM!C399="","",BOM!C399))</f>
        <v/>
      </c>
      <c r="D393" s="5" t="str">
        <f aca="false">IF(OR(BOM!$D399="",BOM!$R399="Cancelled"),"",IF(BOM!D399="","",BOM!D399))</f>
        <v/>
      </c>
      <c r="E393" s="5" t="str">
        <f aca="false">IF(OR(BOM!$D399="",BOM!$R399="Cancelled"),"",IF(BOM!E399="","",BOM!E399))</f>
        <v/>
      </c>
      <c r="F393" s="5" t="str">
        <f aca="false">IF(OR(BOM!$D399="",BOM!$R399="Cancelled"),"",IF(BOM!F399="","",BOM!F399))</f>
        <v/>
      </c>
      <c r="G393" s="5" t="str">
        <f aca="false">IF(OR(BOM!$D399="",BOM!$R399="Cancelled"),"",IF(BOM!J399="","",BOM!J399))</f>
        <v/>
      </c>
      <c r="H393" s="5" t="str">
        <f aca="false">IF(OR(BOM!$D399="",BOM!$R399="Cancelled"),"",IF(BOM!K399="","",BOM!K399))</f>
        <v/>
      </c>
      <c r="I393" s="5" t="str">
        <f aca="false">IF(OR(BOM!$D399="",BOM!$R399="Cancelled"),"",IF(BOM!M399="","",BOM!M399))</f>
        <v/>
      </c>
      <c r="J393" s="5" t="str">
        <f aca="false">IF(OR(BOM!$D399="",BOM!$R399="Cancelled"),"",IF(OR(BOM!R399="Received",BOM!R399="NSW Purchased"),"Received",IF(BOM!R399="Purchased – Not Received","Ordered",IF(BOM!R399="Finalized – Not Purchased","Design Released","In Design"))))</f>
        <v/>
      </c>
      <c r="K393" s="52" t="str">
        <f aca="false">IF(OR(BOM!$D399="",BOM!$R399="Cancelled"),"",IF(BOM!W399="","",BOM!W399))</f>
        <v/>
      </c>
    </row>
    <row r="394" customFormat="false" ht="15" hidden="false" customHeight="false" outlineLevel="0" collapsed="false">
      <c r="A394" s="5" t="str">
        <f aca="false">IF(OR(BOM!$D400="",BOM!$R400="Cancelled"),"",IF(BOM!A400="","",BOM!A400))</f>
        <v/>
      </c>
      <c r="B394" s="5" t="str">
        <f aca="false">IF(OR(BOM!$D400="",BOM!$R400="Cancelled"),"",IF(BOM!B400="","",BOM!B400))</f>
        <v/>
      </c>
      <c r="C394" s="5" t="str">
        <f aca="false">IF(OR(BOM!$D400="",BOM!$R400="Cancelled"),"",IF(BOM!C400="","",BOM!C400))</f>
        <v/>
      </c>
      <c r="D394" s="5" t="str">
        <f aca="false">IF(OR(BOM!$D400="",BOM!$R400="Cancelled"),"",IF(BOM!D400="","",BOM!D400))</f>
        <v/>
      </c>
      <c r="E394" s="5" t="str">
        <f aca="false">IF(OR(BOM!$D400="",BOM!$R400="Cancelled"),"",IF(BOM!E400="","",BOM!E400))</f>
        <v/>
      </c>
      <c r="F394" s="5" t="str">
        <f aca="false">IF(OR(BOM!$D400="",BOM!$R400="Cancelled"),"",IF(BOM!F400="","",BOM!F400))</f>
        <v/>
      </c>
      <c r="G394" s="5" t="str">
        <f aca="false">IF(OR(BOM!$D400="",BOM!$R400="Cancelled"),"",IF(BOM!J400="","",BOM!J400))</f>
        <v/>
      </c>
      <c r="H394" s="5" t="str">
        <f aca="false">IF(OR(BOM!$D400="",BOM!$R400="Cancelled"),"",IF(BOM!K400="","",BOM!K400))</f>
        <v/>
      </c>
      <c r="I394" s="5" t="str">
        <f aca="false">IF(OR(BOM!$D400="",BOM!$R400="Cancelled"),"",IF(BOM!M400="","",BOM!M400))</f>
        <v/>
      </c>
      <c r="J394" s="5" t="str">
        <f aca="false">IF(OR(BOM!$D400="",BOM!$R400="Cancelled"),"",IF(OR(BOM!R400="Received",BOM!R400="NSW Purchased"),"Received",IF(BOM!R400="Purchased – Not Received","Ordered",IF(BOM!R400="Finalized – Not Purchased","Design Released","In Design"))))</f>
        <v/>
      </c>
      <c r="K394" s="52" t="str">
        <f aca="false">IF(OR(BOM!$D400="",BOM!$R400="Cancelled"),"",IF(BOM!W400="","",BOM!W400))</f>
        <v/>
      </c>
    </row>
    <row r="395" customFormat="false" ht="15" hidden="false" customHeight="false" outlineLevel="0" collapsed="false">
      <c r="A395" s="5" t="str">
        <f aca="false">IF(OR(BOM!$D401="",BOM!$R401="Cancelled"),"",IF(BOM!A401="","",BOM!A401))</f>
        <v/>
      </c>
      <c r="B395" s="5" t="str">
        <f aca="false">IF(OR(BOM!$D401="",BOM!$R401="Cancelled"),"",IF(BOM!B401="","",BOM!B401))</f>
        <v/>
      </c>
      <c r="C395" s="5" t="str">
        <f aca="false">IF(OR(BOM!$D401="",BOM!$R401="Cancelled"),"",IF(BOM!C401="","",BOM!C401))</f>
        <v/>
      </c>
      <c r="D395" s="5" t="str">
        <f aca="false">IF(OR(BOM!$D401="",BOM!$R401="Cancelled"),"",IF(BOM!D401="","",BOM!D401))</f>
        <v/>
      </c>
      <c r="E395" s="5" t="str">
        <f aca="false">IF(OR(BOM!$D401="",BOM!$R401="Cancelled"),"",IF(BOM!E401="","",BOM!E401))</f>
        <v/>
      </c>
      <c r="F395" s="5" t="str">
        <f aca="false">IF(OR(BOM!$D401="",BOM!$R401="Cancelled"),"",IF(BOM!F401="","",BOM!F401))</f>
        <v/>
      </c>
      <c r="G395" s="5" t="str">
        <f aca="false">IF(OR(BOM!$D401="",BOM!$R401="Cancelled"),"",IF(BOM!J401="","",BOM!J401))</f>
        <v/>
      </c>
      <c r="H395" s="5" t="str">
        <f aca="false">IF(OR(BOM!$D401="",BOM!$R401="Cancelled"),"",IF(BOM!K401="","",BOM!K401))</f>
        <v/>
      </c>
      <c r="I395" s="5" t="str">
        <f aca="false">IF(OR(BOM!$D401="",BOM!$R401="Cancelled"),"",IF(BOM!M401="","",BOM!M401))</f>
        <v/>
      </c>
      <c r="J395" s="5" t="str">
        <f aca="false">IF(OR(BOM!$D401="",BOM!$R401="Cancelled"),"",IF(OR(BOM!R401="Received",BOM!R401="NSW Purchased"),"Received",IF(BOM!R401="Purchased – Not Received","Ordered",IF(BOM!R401="Finalized – Not Purchased","Design Released","In Design"))))</f>
        <v/>
      </c>
      <c r="K395" s="52" t="str">
        <f aca="false">IF(OR(BOM!$D401="",BOM!$R401="Cancelled"),"",IF(BOM!W401="","",BOM!W401))</f>
        <v/>
      </c>
    </row>
    <row r="396" customFormat="false" ht="15" hidden="false" customHeight="false" outlineLevel="0" collapsed="false">
      <c r="A396" s="5" t="str">
        <f aca="false">IF(OR(BOM!$D402="",BOM!$R402="Cancelled"),"",IF(BOM!A402="","",BOM!A402))</f>
        <v/>
      </c>
      <c r="B396" s="5" t="str">
        <f aca="false">IF(OR(BOM!$D402="",BOM!$R402="Cancelled"),"",IF(BOM!B402="","",BOM!B402))</f>
        <v/>
      </c>
      <c r="C396" s="5" t="str">
        <f aca="false">IF(OR(BOM!$D402="",BOM!$R402="Cancelled"),"",IF(BOM!C402="","",BOM!C402))</f>
        <v/>
      </c>
      <c r="D396" s="5" t="str">
        <f aca="false">IF(OR(BOM!$D402="",BOM!$R402="Cancelled"),"",IF(BOM!D402="","",BOM!D402))</f>
        <v/>
      </c>
      <c r="E396" s="5" t="str">
        <f aca="false">IF(OR(BOM!$D402="",BOM!$R402="Cancelled"),"",IF(BOM!E402="","",BOM!E402))</f>
        <v/>
      </c>
      <c r="F396" s="5" t="str">
        <f aca="false">IF(OR(BOM!$D402="",BOM!$R402="Cancelled"),"",IF(BOM!F402="","",BOM!F402))</f>
        <v/>
      </c>
      <c r="G396" s="5" t="str">
        <f aca="false">IF(OR(BOM!$D402="",BOM!$R402="Cancelled"),"",IF(BOM!J402="","",BOM!J402))</f>
        <v/>
      </c>
      <c r="H396" s="5" t="str">
        <f aca="false">IF(OR(BOM!$D402="",BOM!$R402="Cancelled"),"",IF(BOM!K402="","",BOM!K402))</f>
        <v/>
      </c>
      <c r="I396" s="5" t="str">
        <f aca="false">IF(OR(BOM!$D402="",BOM!$R402="Cancelled"),"",IF(BOM!M402="","",BOM!M402))</f>
        <v/>
      </c>
      <c r="J396" s="5" t="str">
        <f aca="false">IF(OR(BOM!$D402="",BOM!$R402="Cancelled"),"",IF(OR(BOM!R402="Received",BOM!R402="NSW Purchased"),"Received",IF(BOM!R402="Purchased – Not Received","Ordered",IF(BOM!R402="Finalized – Not Purchased","Design Released","In Design"))))</f>
        <v/>
      </c>
      <c r="K396" s="52" t="str">
        <f aca="false">IF(OR(BOM!$D402="",BOM!$R402="Cancelled"),"",IF(BOM!W402="","",BOM!W402))</f>
        <v/>
      </c>
    </row>
    <row r="397" customFormat="false" ht="15" hidden="false" customHeight="false" outlineLevel="0" collapsed="false">
      <c r="A397" s="5" t="str">
        <f aca="false">IF(OR(BOM!$D403="",BOM!$R403="Cancelled"),"",IF(BOM!A403="","",BOM!A403))</f>
        <v/>
      </c>
      <c r="B397" s="5" t="str">
        <f aca="false">IF(OR(BOM!$D403="",BOM!$R403="Cancelled"),"",IF(BOM!B403="","",BOM!B403))</f>
        <v/>
      </c>
      <c r="C397" s="5" t="str">
        <f aca="false">IF(OR(BOM!$D403="",BOM!$R403="Cancelled"),"",IF(BOM!C403="","",BOM!C403))</f>
        <v/>
      </c>
      <c r="D397" s="5" t="str">
        <f aca="false">IF(OR(BOM!$D403="",BOM!$R403="Cancelled"),"",IF(BOM!D403="","",BOM!D403))</f>
        <v/>
      </c>
      <c r="E397" s="5" t="str">
        <f aca="false">IF(OR(BOM!$D403="",BOM!$R403="Cancelled"),"",IF(BOM!E403="","",BOM!E403))</f>
        <v/>
      </c>
      <c r="F397" s="5" t="str">
        <f aca="false">IF(OR(BOM!$D403="",BOM!$R403="Cancelled"),"",IF(BOM!F403="","",BOM!F403))</f>
        <v/>
      </c>
      <c r="G397" s="5" t="str">
        <f aca="false">IF(OR(BOM!$D403="",BOM!$R403="Cancelled"),"",IF(BOM!J403="","",BOM!J403))</f>
        <v/>
      </c>
      <c r="H397" s="5" t="str">
        <f aca="false">IF(OR(BOM!$D403="",BOM!$R403="Cancelled"),"",IF(BOM!K403="","",BOM!K403))</f>
        <v/>
      </c>
      <c r="I397" s="5" t="str">
        <f aca="false">IF(OR(BOM!$D403="",BOM!$R403="Cancelled"),"",IF(BOM!M403="","",BOM!M403))</f>
        <v/>
      </c>
      <c r="J397" s="5" t="str">
        <f aca="false">IF(OR(BOM!$D403="",BOM!$R403="Cancelled"),"",IF(OR(BOM!R403="Received",BOM!R403="NSW Purchased"),"Received",IF(BOM!R403="Purchased – Not Received","Ordered",IF(BOM!R403="Finalized – Not Purchased","Design Released","In Design"))))</f>
        <v/>
      </c>
      <c r="K397" s="52" t="str">
        <f aca="false">IF(OR(BOM!$D403="",BOM!$R403="Cancelled"),"",IF(BOM!W403="","",BOM!W403))</f>
        <v/>
      </c>
    </row>
    <row r="398" customFormat="false" ht="15" hidden="false" customHeight="false" outlineLevel="0" collapsed="false">
      <c r="A398" s="5" t="str">
        <f aca="false">IF(OR(BOM!$D404="",BOM!$R404="Cancelled"),"",IF(BOM!A404="","",BOM!A404))</f>
        <v/>
      </c>
      <c r="B398" s="5" t="str">
        <f aca="false">IF(OR(BOM!$D404="",BOM!$R404="Cancelled"),"",IF(BOM!B404="","",BOM!B404))</f>
        <v/>
      </c>
      <c r="C398" s="5" t="str">
        <f aca="false">IF(OR(BOM!$D404="",BOM!$R404="Cancelled"),"",IF(BOM!C404="","",BOM!C404))</f>
        <v/>
      </c>
      <c r="D398" s="5" t="str">
        <f aca="false">IF(OR(BOM!$D404="",BOM!$R404="Cancelled"),"",IF(BOM!D404="","",BOM!D404))</f>
        <v/>
      </c>
      <c r="E398" s="5" t="str">
        <f aca="false">IF(OR(BOM!$D404="",BOM!$R404="Cancelled"),"",IF(BOM!E404="","",BOM!E404))</f>
        <v/>
      </c>
      <c r="F398" s="5" t="str">
        <f aca="false">IF(OR(BOM!$D404="",BOM!$R404="Cancelled"),"",IF(BOM!F404="","",BOM!F404))</f>
        <v/>
      </c>
      <c r="G398" s="5" t="str">
        <f aca="false">IF(OR(BOM!$D404="",BOM!$R404="Cancelled"),"",IF(BOM!J404="","",BOM!J404))</f>
        <v/>
      </c>
      <c r="H398" s="5" t="str">
        <f aca="false">IF(OR(BOM!$D404="",BOM!$R404="Cancelled"),"",IF(BOM!K404="","",BOM!K404))</f>
        <v/>
      </c>
      <c r="I398" s="5" t="str">
        <f aca="false">IF(OR(BOM!$D404="",BOM!$R404="Cancelled"),"",IF(BOM!M404="","",BOM!M404))</f>
        <v/>
      </c>
      <c r="J398" s="5" t="str">
        <f aca="false">IF(OR(BOM!$D404="",BOM!$R404="Cancelled"),"",IF(OR(BOM!R404="Received",BOM!R404="NSW Purchased"),"Received",IF(BOM!R404="Purchased – Not Received","Ordered",IF(BOM!R404="Finalized – Not Purchased","Design Released","In Design"))))</f>
        <v/>
      </c>
      <c r="K398" s="52" t="str">
        <f aca="false">IF(OR(BOM!$D404="",BOM!$R404="Cancelled"),"",IF(BOM!W404="","",BOM!W404))</f>
        <v/>
      </c>
    </row>
    <row r="399" customFormat="false" ht="15" hidden="false" customHeight="false" outlineLevel="0" collapsed="false">
      <c r="A399" s="5" t="str">
        <f aca="false">IF(OR(BOM!$D405="",BOM!$R405="Cancelled"),"",IF(BOM!A405="","",BOM!A405))</f>
        <v/>
      </c>
      <c r="B399" s="5" t="str">
        <f aca="false">IF(OR(BOM!$D405="",BOM!$R405="Cancelled"),"",IF(BOM!B405="","",BOM!B405))</f>
        <v/>
      </c>
      <c r="C399" s="5" t="str">
        <f aca="false">IF(OR(BOM!$D405="",BOM!$R405="Cancelled"),"",IF(BOM!C405="","",BOM!C405))</f>
        <v/>
      </c>
      <c r="D399" s="5" t="str">
        <f aca="false">IF(OR(BOM!$D405="",BOM!$R405="Cancelled"),"",IF(BOM!D405="","",BOM!D405))</f>
        <v/>
      </c>
      <c r="E399" s="5" t="str">
        <f aca="false">IF(OR(BOM!$D405="",BOM!$R405="Cancelled"),"",IF(BOM!E405="","",BOM!E405))</f>
        <v/>
      </c>
      <c r="F399" s="5" t="str">
        <f aca="false">IF(OR(BOM!$D405="",BOM!$R405="Cancelled"),"",IF(BOM!F405="","",BOM!F405))</f>
        <v/>
      </c>
      <c r="G399" s="5" t="str">
        <f aca="false">IF(OR(BOM!$D405="",BOM!$R405="Cancelled"),"",IF(BOM!J405="","",BOM!J405))</f>
        <v/>
      </c>
      <c r="H399" s="5" t="str">
        <f aca="false">IF(OR(BOM!$D405="",BOM!$R405="Cancelled"),"",IF(BOM!K405="","",BOM!K405))</f>
        <v/>
      </c>
      <c r="I399" s="5" t="str">
        <f aca="false">IF(OR(BOM!$D405="",BOM!$R405="Cancelled"),"",IF(BOM!M405="","",BOM!M405))</f>
        <v/>
      </c>
      <c r="J399" s="5" t="str">
        <f aca="false">IF(OR(BOM!$D405="",BOM!$R405="Cancelled"),"",IF(OR(BOM!R405="Received",BOM!R405="NSW Purchased"),"Received",IF(BOM!R405="Purchased – Not Received","Ordered",IF(BOM!R405="Finalized – Not Purchased","Design Released","In Design"))))</f>
        <v/>
      </c>
      <c r="K399" s="52" t="str">
        <f aca="false">IF(OR(BOM!$D405="",BOM!$R405="Cancelled"),"",IF(BOM!W405="","",BOM!W405))</f>
        <v/>
      </c>
    </row>
    <row r="400" customFormat="false" ht="15" hidden="false" customHeight="false" outlineLevel="0" collapsed="false">
      <c r="A400" s="5" t="str">
        <f aca="false">IF(OR(BOM!$D406="",BOM!$R406="Cancelled"),"",IF(BOM!A406="","",BOM!A406))</f>
        <v/>
      </c>
      <c r="B400" s="5" t="str">
        <f aca="false">IF(OR(BOM!$D406="",BOM!$R406="Cancelled"),"",IF(BOM!B406="","",BOM!B406))</f>
        <v/>
      </c>
      <c r="C400" s="5" t="str">
        <f aca="false">IF(OR(BOM!$D406="",BOM!$R406="Cancelled"),"",IF(BOM!C406="","",BOM!C406))</f>
        <v/>
      </c>
      <c r="D400" s="5" t="str">
        <f aca="false">IF(OR(BOM!$D406="",BOM!$R406="Cancelled"),"",IF(BOM!D406="","",BOM!D406))</f>
        <v/>
      </c>
      <c r="E400" s="5" t="str">
        <f aca="false">IF(OR(BOM!$D406="",BOM!$R406="Cancelled"),"",IF(BOM!E406="","",BOM!E406))</f>
        <v/>
      </c>
      <c r="F400" s="5" t="str">
        <f aca="false">IF(OR(BOM!$D406="",BOM!$R406="Cancelled"),"",IF(BOM!F406="","",BOM!F406))</f>
        <v/>
      </c>
      <c r="G400" s="5" t="str">
        <f aca="false">IF(OR(BOM!$D406="",BOM!$R406="Cancelled"),"",IF(BOM!J406="","",BOM!J406))</f>
        <v/>
      </c>
      <c r="H400" s="5" t="str">
        <f aca="false">IF(OR(BOM!$D406="",BOM!$R406="Cancelled"),"",IF(BOM!K406="","",BOM!K406))</f>
        <v/>
      </c>
      <c r="I400" s="5" t="str">
        <f aca="false">IF(OR(BOM!$D406="",BOM!$R406="Cancelled"),"",IF(BOM!M406="","",BOM!M406))</f>
        <v/>
      </c>
      <c r="J400" s="5" t="str">
        <f aca="false">IF(OR(BOM!$D406="",BOM!$R406="Cancelled"),"",IF(OR(BOM!R406="Received",BOM!R406="NSW Purchased"),"Received",IF(BOM!R406="Purchased – Not Received","Ordered",IF(BOM!R406="Finalized – Not Purchased","Design Released","In Design"))))</f>
        <v/>
      </c>
      <c r="K400" s="52" t="str">
        <f aca="false">IF(OR(BOM!$D406="",BOM!$R406="Cancelled"),"",IF(BOM!W406="","",BOM!W406))</f>
        <v/>
      </c>
    </row>
    <row r="401" customFormat="false" ht="15" hidden="false" customHeight="false" outlineLevel="0" collapsed="false">
      <c r="A401" s="5" t="str">
        <f aca="false">IF(OR(BOM!$D407="",BOM!$R407="Cancelled"),"",IF(BOM!A407="","",BOM!A407))</f>
        <v/>
      </c>
      <c r="B401" s="5" t="str">
        <f aca="false">IF(OR(BOM!$D407="",BOM!$R407="Cancelled"),"",IF(BOM!B407="","",BOM!B407))</f>
        <v/>
      </c>
      <c r="C401" s="5" t="str">
        <f aca="false">IF(OR(BOM!$D407="",BOM!$R407="Cancelled"),"",IF(BOM!C407="","",BOM!C407))</f>
        <v/>
      </c>
      <c r="D401" s="5" t="str">
        <f aca="false">IF(OR(BOM!$D407="",BOM!$R407="Cancelled"),"",IF(BOM!D407="","",BOM!D407))</f>
        <v/>
      </c>
      <c r="E401" s="5" t="str">
        <f aca="false">IF(OR(BOM!$D407="",BOM!$R407="Cancelled"),"",IF(BOM!E407="","",BOM!E407))</f>
        <v/>
      </c>
      <c r="F401" s="5" t="str">
        <f aca="false">IF(OR(BOM!$D407="",BOM!$R407="Cancelled"),"",IF(BOM!F407="","",BOM!F407))</f>
        <v/>
      </c>
      <c r="G401" s="5" t="str">
        <f aca="false">IF(OR(BOM!$D407="",BOM!$R407="Cancelled"),"",IF(BOM!J407="","",BOM!J407))</f>
        <v/>
      </c>
      <c r="H401" s="5" t="str">
        <f aca="false">IF(OR(BOM!$D407="",BOM!$R407="Cancelled"),"",IF(BOM!K407="","",BOM!K407))</f>
        <v/>
      </c>
      <c r="I401" s="5" t="str">
        <f aca="false">IF(OR(BOM!$D407="",BOM!$R407="Cancelled"),"",IF(BOM!M407="","",BOM!M407))</f>
        <v/>
      </c>
      <c r="J401" s="5" t="str">
        <f aca="false">IF(OR(BOM!$D407="",BOM!$R407="Cancelled"),"",IF(OR(BOM!R407="Received",BOM!R407="NSW Purchased"),"Received",IF(BOM!R407="Purchased – Not Received","Ordered",IF(BOM!R407="Finalized – Not Purchased","Design Released","In Design"))))</f>
        <v/>
      </c>
      <c r="K401" s="52" t="str">
        <f aca="false">IF(OR(BOM!$D407="",BOM!$R407="Cancelled"),"",IF(BOM!W407="","",BOM!W407))</f>
        <v/>
      </c>
    </row>
    <row r="402" customFormat="false" ht="15" hidden="false" customHeight="false" outlineLevel="0" collapsed="false">
      <c r="A402" s="5" t="str">
        <f aca="false">IF(OR(BOM!$D408="",BOM!$R408="Cancelled"),"",IF(BOM!A408="","",BOM!A408))</f>
        <v/>
      </c>
      <c r="B402" s="5" t="str">
        <f aca="false">IF(OR(BOM!$D408="",BOM!$R408="Cancelled"),"",IF(BOM!B408="","",BOM!B408))</f>
        <v/>
      </c>
      <c r="C402" s="5" t="str">
        <f aca="false">IF(OR(BOM!$D408="",BOM!$R408="Cancelled"),"",IF(BOM!C408="","",BOM!C408))</f>
        <v/>
      </c>
      <c r="D402" s="5" t="str">
        <f aca="false">IF(OR(BOM!$D408="",BOM!$R408="Cancelled"),"",IF(BOM!D408="","",BOM!D408))</f>
        <v/>
      </c>
      <c r="E402" s="5" t="str">
        <f aca="false">IF(OR(BOM!$D408="",BOM!$R408="Cancelled"),"",IF(BOM!E408="","",BOM!E408))</f>
        <v/>
      </c>
      <c r="F402" s="5" t="str">
        <f aca="false">IF(OR(BOM!$D408="",BOM!$R408="Cancelled"),"",IF(BOM!F408="","",BOM!F408))</f>
        <v/>
      </c>
      <c r="G402" s="5" t="str">
        <f aca="false">IF(OR(BOM!$D408="",BOM!$R408="Cancelled"),"",IF(BOM!J408="","",BOM!J408))</f>
        <v/>
      </c>
      <c r="H402" s="5" t="str">
        <f aca="false">IF(OR(BOM!$D408="",BOM!$R408="Cancelled"),"",IF(BOM!K408="","",BOM!K408))</f>
        <v/>
      </c>
      <c r="I402" s="5" t="str">
        <f aca="false">IF(OR(BOM!$D408="",BOM!$R408="Cancelled"),"",IF(BOM!M408="","",BOM!M408))</f>
        <v/>
      </c>
      <c r="J402" s="5" t="str">
        <f aca="false">IF(OR(BOM!$D408="",BOM!$R408="Cancelled"),"",IF(OR(BOM!R408="Received",BOM!R408="NSW Purchased"),"Received",IF(BOM!R408="Purchased – Not Received","Ordered",IF(BOM!R408="Finalized – Not Purchased","Design Released","In Design"))))</f>
        <v/>
      </c>
      <c r="K402" s="52" t="str">
        <f aca="false">IF(OR(BOM!$D408="",BOM!$R408="Cancelled"),"",IF(BOM!W408="","",BOM!W408))</f>
        <v/>
      </c>
    </row>
    <row r="403" customFormat="false" ht="15" hidden="false" customHeight="false" outlineLevel="0" collapsed="false">
      <c r="A403" s="5" t="str">
        <f aca="false">IF(OR(BOM!$D409="",BOM!$R409="Cancelled"),"",IF(BOM!A409="","",BOM!A409))</f>
        <v/>
      </c>
      <c r="B403" s="5" t="str">
        <f aca="false">IF(OR(BOM!$D409="",BOM!$R409="Cancelled"),"",IF(BOM!B409="","",BOM!B409))</f>
        <v/>
      </c>
      <c r="C403" s="5" t="str">
        <f aca="false">IF(OR(BOM!$D409="",BOM!$R409="Cancelled"),"",IF(BOM!C409="","",BOM!C409))</f>
        <v/>
      </c>
      <c r="D403" s="5" t="str">
        <f aca="false">IF(OR(BOM!$D409="",BOM!$R409="Cancelled"),"",IF(BOM!D409="","",BOM!D409))</f>
        <v/>
      </c>
      <c r="E403" s="5" t="str">
        <f aca="false">IF(OR(BOM!$D409="",BOM!$R409="Cancelled"),"",IF(BOM!E409="","",BOM!E409))</f>
        <v/>
      </c>
      <c r="F403" s="5" t="str">
        <f aca="false">IF(OR(BOM!$D409="",BOM!$R409="Cancelled"),"",IF(BOM!F409="","",BOM!F409))</f>
        <v/>
      </c>
      <c r="G403" s="5" t="str">
        <f aca="false">IF(OR(BOM!$D409="",BOM!$R409="Cancelled"),"",IF(BOM!J409="","",BOM!J409))</f>
        <v/>
      </c>
      <c r="H403" s="5" t="str">
        <f aca="false">IF(OR(BOM!$D409="",BOM!$R409="Cancelled"),"",IF(BOM!K409="","",BOM!K409))</f>
        <v/>
      </c>
      <c r="I403" s="5" t="str">
        <f aca="false">IF(OR(BOM!$D409="",BOM!$R409="Cancelled"),"",IF(BOM!M409="","",BOM!M409))</f>
        <v/>
      </c>
      <c r="J403" s="5" t="str">
        <f aca="false">IF(OR(BOM!$D409="",BOM!$R409="Cancelled"),"",IF(OR(BOM!R409="Received",BOM!R409="NSW Purchased"),"Received",IF(BOM!R409="Purchased – Not Received","Ordered",IF(BOM!R409="Finalized – Not Purchased","Design Released","In Design"))))</f>
        <v/>
      </c>
      <c r="K403" s="52" t="str">
        <f aca="false">IF(OR(BOM!$D409="",BOM!$R409="Cancelled"),"",IF(BOM!W409="","",BOM!W409))</f>
        <v/>
      </c>
    </row>
    <row r="404" customFormat="false" ht="15" hidden="false" customHeight="false" outlineLevel="0" collapsed="false">
      <c r="A404" s="5" t="str">
        <f aca="false">IF(OR(BOM!$D410="",BOM!$R410="Cancelled"),"",IF(BOM!A410="","",BOM!A410))</f>
        <v/>
      </c>
      <c r="B404" s="5" t="str">
        <f aca="false">IF(OR(BOM!$D410="",BOM!$R410="Cancelled"),"",IF(BOM!B410="","",BOM!B410))</f>
        <v/>
      </c>
      <c r="C404" s="5" t="str">
        <f aca="false">IF(OR(BOM!$D410="",BOM!$R410="Cancelled"),"",IF(BOM!C410="","",BOM!C410))</f>
        <v/>
      </c>
      <c r="D404" s="5" t="str">
        <f aca="false">IF(OR(BOM!$D410="",BOM!$R410="Cancelled"),"",IF(BOM!D410="","",BOM!D410))</f>
        <v/>
      </c>
      <c r="E404" s="5" t="str">
        <f aca="false">IF(OR(BOM!$D410="",BOM!$R410="Cancelled"),"",IF(BOM!E410="","",BOM!E410))</f>
        <v/>
      </c>
      <c r="F404" s="5" t="str">
        <f aca="false">IF(OR(BOM!$D410="",BOM!$R410="Cancelled"),"",IF(BOM!F410="","",BOM!F410))</f>
        <v/>
      </c>
      <c r="G404" s="5" t="str">
        <f aca="false">IF(OR(BOM!$D410="",BOM!$R410="Cancelled"),"",IF(BOM!J410="","",BOM!J410))</f>
        <v/>
      </c>
      <c r="H404" s="5" t="str">
        <f aca="false">IF(OR(BOM!$D410="",BOM!$R410="Cancelled"),"",IF(BOM!K410="","",BOM!K410))</f>
        <v/>
      </c>
      <c r="I404" s="5" t="str">
        <f aca="false">IF(OR(BOM!$D410="",BOM!$R410="Cancelled"),"",IF(BOM!M410="","",BOM!M410))</f>
        <v/>
      </c>
      <c r="J404" s="5" t="str">
        <f aca="false">IF(OR(BOM!$D410="",BOM!$R410="Cancelled"),"",IF(OR(BOM!R410="Received",BOM!R410="NSW Purchased"),"Received",IF(BOM!R410="Purchased – Not Received","Ordered",IF(BOM!R410="Finalized – Not Purchased","Design Released","In Design"))))</f>
        <v/>
      </c>
      <c r="K404" s="52" t="str">
        <f aca="false">IF(OR(BOM!$D410="",BOM!$R410="Cancelled"),"",IF(BOM!W410="","",BOM!W410))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5" min="4" style="0" width="10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4" customFormat="false" ht="15" hidden="false" customHeight="false" outlineLevel="0" collapsed="false">
      <c r="A4" s="3" t="s">
        <v>142</v>
      </c>
      <c r="B4" s="3" t="s">
        <v>143</v>
      </c>
      <c r="C4" s="3" t="s">
        <v>144</v>
      </c>
      <c r="D4" s="3" t="s">
        <v>145</v>
      </c>
      <c r="E4" s="3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6" min="2" style="0" width="26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4" customFormat="false" ht="15" hidden="false" customHeight="false" outlineLevel="0" collapsed="false">
      <c r="A4" s="53" t="s">
        <v>52</v>
      </c>
      <c r="B4" s="53" t="s">
        <v>53</v>
      </c>
      <c r="C4" s="53" t="s">
        <v>57</v>
      </c>
      <c r="D4" s="53" t="s">
        <v>68</v>
      </c>
      <c r="E4" s="53" t="s">
        <v>149</v>
      </c>
      <c r="F4" s="53" t="s">
        <v>61</v>
      </c>
    </row>
    <row r="5" customFormat="false" ht="15" hidden="false" customHeight="false" outlineLevel="0" collapsed="false">
      <c r="A5" s="54" t="s">
        <v>150</v>
      </c>
      <c r="B5" s="35" t="s">
        <v>86</v>
      </c>
      <c r="C5" s="35" t="s">
        <v>151</v>
      </c>
      <c r="D5" s="55" t="s">
        <v>14</v>
      </c>
      <c r="E5" s="35" t="s">
        <v>92</v>
      </c>
      <c r="F5" s="35" t="s">
        <v>91</v>
      </c>
    </row>
    <row r="6" customFormat="false" ht="15" hidden="false" customHeight="false" outlineLevel="0" collapsed="false">
      <c r="A6" s="54" t="s">
        <v>152</v>
      </c>
      <c r="B6" s="35" t="s">
        <v>153</v>
      </c>
      <c r="C6" s="35" t="s">
        <v>154</v>
      </c>
      <c r="D6" s="56" t="s">
        <v>15</v>
      </c>
      <c r="E6" s="35" t="s">
        <v>155</v>
      </c>
      <c r="F6" s="35" t="s">
        <v>156</v>
      </c>
    </row>
    <row r="7" customFormat="false" ht="15" hidden="false" customHeight="false" outlineLevel="0" collapsed="false">
      <c r="A7" s="54" t="s">
        <v>157</v>
      </c>
      <c r="B7" s="35" t="s">
        <v>90</v>
      </c>
      <c r="C7" s="35" t="s">
        <v>90</v>
      </c>
      <c r="D7" s="57" t="s">
        <v>16</v>
      </c>
      <c r="E7" s="35" t="s">
        <v>158</v>
      </c>
      <c r="F7" s="35" t="s">
        <v>159</v>
      </c>
    </row>
    <row r="8" customFormat="false" ht="15" hidden="false" customHeight="false" outlineLevel="0" collapsed="false">
      <c r="A8" s="54" t="s">
        <v>160</v>
      </c>
      <c r="B8" s="35" t="s">
        <v>161</v>
      </c>
      <c r="C8" s="35" t="s">
        <v>162</v>
      </c>
      <c r="D8" s="58" t="s">
        <v>17</v>
      </c>
      <c r="F8" s="35" t="s">
        <v>163</v>
      </c>
    </row>
    <row r="9" customFormat="false" ht="15" hidden="false" customHeight="false" outlineLevel="0" collapsed="false">
      <c r="A9" s="54" t="s">
        <v>164</v>
      </c>
      <c r="B9" s="35" t="s">
        <v>165</v>
      </c>
      <c r="C9" s="35" t="s">
        <v>166</v>
      </c>
      <c r="D9" s="59" t="s">
        <v>18</v>
      </c>
      <c r="F9" s="35" t="s">
        <v>167</v>
      </c>
    </row>
    <row r="10" customFormat="false" ht="15" hidden="false" customHeight="false" outlineLevel="0" collapsed="false">
      <c r="A10" s="54" t="s">
        <v>168</v>
      </c>
      <c r="C10" s="35" t="s">
        <v>169</v>
      </c>
      <c r="D10" s="60" t="s">
        <v>19</v>
      </c>
    </row>
    <row r="11" customFormat="false" ht="15" hidden="false" customHeight="false" outlineLevel="0" collapsed="false">
      <c r="A11" s="54" t="s">
        <v>170</v>
      </c>
      <c r="C11" s="35" t="s">
        <v>171</v>
      </c>
      <c r="D11" s="61" t="s">
        <v>20</v>
      </c>
    </row>
    <row r="12" customFormat="false" ht="15" hidden="false" customHeight="false" outlineLevel="0" collapsed="false">
      <c r="A12" s="54" t="s">
        <v>172</v>
      </c>
      <c r="C12" s="35" t="s">
        <v>173</v>
      </c>
    </row>
    <row r="13" customFormat="false" ht="15" hidden="false" customHeight="false" outlineLevel="0" collapsed="false">
      <c r="A13" s="54" t="s">
        <v>174</v>
      </c>
      <c r="C13" s="35" t="s">
        <v>175</v>
      </c>
    </row>
    <row r="14" customFormat="false" ht="15" hidden="false" customHeight="false" outlineLevel="0" collapsed="false">
      <c r="A14" s="54" t="s">
        <v>176</v>
      </c>
      <c r="C14" s="35" t="s">
        <v>177</v>
      </c>
    </row>
    <row r="15" customFormat="false" ht="15" hidden="false" customHeight="false" outlineLevel="0" collapsed="false">
      <c r="A15" s="54" t="s">
        <v>178</v>
      </c>
    </row>
    <row r="16" customFormat="false" ht="15" hidden="false" customHeight="false" outlineLevel="0" collapsed="false">
      <c r="A16" s="54" t="s">
        <v>179</v>
      </c>
    </row>
    <row r="17" customFormat="false" ht="15" hidden="false" customHeight="false" outlineLevel="0" collapsed="false">
      <c r="A17" s="54" t="s">
        <v>180</v>
      </c>
    </row>
    <row r="18" customFormat="false" ht="15" hidden="false" customHeight="false" outlineLevel="0" collapsed="false">
      <c r="A18" s="54" t="s">
        <v>181</v>
      </c>
    </row>
    <row r="19" customFormat="false" ht="15" hidden="false" customHeight="false" outlineLevel="0" collapsed="false">
      <c r="A19" s="54" t="s"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2026-10-09T03:03:15Z</dcterms:created>
  <dc:creator>openpyxl</dc:creator>
  <dc:description/>
  <dc:language>en-US</dc:language>
  <cp:lastModifiedBy/>
  <dcterms:modified xsi:type="dcterms:W3CDTF">2026-10-09T03:03:15Z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